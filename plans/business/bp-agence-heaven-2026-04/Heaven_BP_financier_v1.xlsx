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eses" sheetId="1" state="visible" r:id="rId3"/>
    <sheet name="PL_24mois" sheetId="2" state="visible" r:id="rId4"/>
    <sheet name="Cashflow_24mois" sheetId="3" state="visible" r:id="rId5"/>
    <sheet name="Scenarios" sheetId="4" state="visible" r:id="rId6"/>
    <sheet name="Mode_C_B2B" sheetId="5" state="visible" r:id="rId7"/>
    <sheet name="Paliers_Simulateu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<sst xmlns="http://schemas.openxmlformats.org/spreadsheetml/2006/main" count="325" uniqueCount="267">
  <si>
    <t xml:space="preserve">HEAVEN — Hypothèses modèle financier v1</t>
  </si>
  <si>
    <t xml:space="preserve">Sqwensy (BE) — Avril 2026 — Cellules BLEUES = inputs modifiables — JAUNES = assumptions clés</t>
  </si>
  <si>
    <t xml:space="preserve">1. PRICING &amp; FUNNEL FANVUE</t>
  </si>
  <si>
    <t xml:space="preserve">Panier moyen PPV (USD)</t>
  </si>
  <si>
    <t xml:space="preserve">Mix packs 15-35 $ + tips</t>
  </si>
  <si>
    <t xml:space="preserve">Taux d'achat PPV mensuel / abonné actif</t>
  </si>
  <si>
    <t xml:space="preserve">Benchmark freemium adult. À mesurer dès M2.</t>
  </si>
  <si>
    <t xml:space="preserve">% abonnés « actifs » (1 interaction / mois)</t>
  </si>
  <si>
    <t xml:space="preserve">Abonnés free engagés vs inactifs</t>
  </si>
  <si>
    <t xml:space="preserve">Commission Fanvue</t>
  </si>
  <si>
    <t xml:space="preserve">Standard plateforme</t>
  </si>
  <si>
    <t xml:space="preserve">Taux conversion USD → EUR</t>
  </si>
  <si>
    <t xml:space="preserve">À ajuster au taux BNB en clôture</t>
  </si>
  <si>
    <t xml:space="preserve">2. RÉMUNÉRATION MODÈLES</t>
  </si>
  <si>
    <t xml:space="preserve">Part Mode B — Slot 1 (% du net distribuable)</t>
  </si>
  <si>
    <t xml:space="preserve">70 % modèle, 30 % Sqwensy — renégociable</t>
  </si>
  <si>
    <t xml:space="preserve">Part Mode B — Slot 2 (% du net distribuable)</t>
  </si>
  <si>
    <t xml:space="preserve">Identique Slot 1</t>
  </si>
  <si>
    <t xml:space="preserve">Part « modèle » Mode A — Persona IA (= 0)</t>
  </si>
  <si>
    <t xml:space="preserve">Mode A = 100 % Sqwensy, aucune redistribution</t>
  </si>
  <si>
    <t xml:space="preserve">3. FRAIS DE PRODUCTION MENSUELS (EUR)</t>
  </si>
  <si>
    <t xml:space="preserve">Frais prod Mode A — Persona IA / mois</t>
  </si>
  <si>
    <t xml:space="preserve">Outils IA (Midjourney, Suno, ComfyUI) + stockage</t>
  </si>
  <si>
    <t xml:space="preserve">Frais prod Mode B — Slot 1 / mois</t>
  </si>
  <si>
    <t xml:space="preserve">Shooting, montage, habillage IA si applicable</t>
  </si>
  <si>
    <t xml:space="preserve">Frais prod Mode B — Slot 2 / mois</t>
  </si>
  <si>
    <t xml:space="preserve">Idem Slot 1</t>
  </si>
  <si>
    <t xml:space="preserve">4. FRAIS FIXES SQWENSY-HEAVEN (EUR / mois)</t>
  </si>
  <si>
    <t xml:space="preserve">Hosting (Supabase, Vercel, R2)</t>
  </si>
  <si>
    <t xml:space="preserve">Free tier jusqu'à ~M6, puis upgrade</t>
  </si>
  <si>
    <t xml:space="preserve">Outils automation / agent IA (API, n8n)</t>
  </si>
  <si>
    <t xml:space="preserve">Self-host + API OpenAI/Anthropic</t>
  </si>
  <si>
    <t xml:space="preserve">Domaines + misc tech</t>
  </si>
  <si>
    <t xml:space="preserve">Provision juridique/comptable</t>
  </si>
  <si>
    <t xml:space="preserve">Lissé : contrats + revue comptable périodique</t>
  </si>
  <si>
    <t xml:space="preserve">5. BUDGET INITIAL &amp; TRÉSORERIE</t>
  </si>
  <si>
    <t xml:space="preserve">Apport initial (EUR)</t>
  </si>
  <si>
    <t xml:space="preserve">Contrainte bootstrap</t>
  </si>
  <si>
    <t xml:space="preserve">Trésorerie minimale cible (mois de charges fixes)</t>
  </si>
  <si>
    <t xml:space="preserve">Alerte si &lt; 3 mois</t>
  </si>
  <si>
    <t xml:space="preserve">6. FISCALITÉ BELGIQUE (À VALIDER comptable)</t>
  </si>
  <si>
    <t xml:space="preserve">Seuil franchise TVA BE (EUR HT/an)</t>
  </si>
  <si>
    <t xml:space="preserve">Bascule TVA 21 % au-delà</t>
  </si>
  <si>
    <t xml:space="preserve">TVA applicable sur revenus Fanvue (0=non, 1=oui)</t>
  </si>
  <si>
    <t xml:space="preserve">Fanvue UK post-Brexit → probable exonération B2B. À VALIDER.</t>
  </si>
  <si>
    <t xml:space="preserve">Taux ISOC réduit PME (≤ 100 k€ bénéf.)</t>
  </si>
  <si>
    <t xml:space="preserve">Conditions PME à respecter</t>
  </si>
  <si>
    <t xml:space="preserve">Taux ISOC standard (&gt; 100 k€)</t>
  </si>
  <si>
    <t xml:space="preserve">Cotisations INASTI indépendant complémentaire</t>
  </si>
  <si>
    <t xml:space="preserve">Approximation. Seuils et plafonds variables.</t>
  </si>
  <si>
    <t xml:space="preserve">Plafond droit à l'image par modèle (EUR/an)</t>
  </si>
  <si>
    <t xml:space="preserve">Chiffre 2024-2025 indicatif — À VALIDER 2026</t>
  </si>
  <si>
    <t xml:space="preserve">7. RAMPE ABONNÉS FREE FANVUE (SCÉNARIO MÉDIAN)</t>
  </si>
  <si>
    <t xml:space="preserve">Mode A — abonnés mois 1</t>
  </si>
  <si>
    <t xml:space="preserve">Démarrage organique IG/TikTok</t>
  </si>
  <si>
    <t xml:space="preserve">Mode A — nouveaux abonnés / mois (M2+)</t>
  </si>
  <si>
    <t xml:space="preserve">Rampe moyenne</t>
  </si>
  <si>
    <t xml:space="preserve">Mode B Slot 1 — mois de démarrage</t>
  </si>
  <si>
    <t xml:space="preserve">Arrive après validation Mode A</t>
  </si>
  <si>
    <t xml:space="preserve">Mode B Slot 1 — nouveaux abonnés / mois</t>
  </si>
  <si>
    <t xml:space="preserve">Mode B Slot 2 — mois de démarrage</t>
  </si>
  <si>
    <t xml:space="preserve">Mode B Slot 2 — nouveaux abonnés / mois</t>
  </si>
  <si>
    <t xml:space="preserve">8. CAMING — CANAL D'ACQUISITION PRIMAIRE (Mode B)</t>
  </si>
  <si>
    <t xml:space="preserve">Caming activé Slot 1 (1=oui, 0=non)</t>
  </si>
  <si>
    <t xml:space="preserve">Si 1, boost rampe Slot 1 via funnel live</t>
  </si>
  <si>
    <t xml:space="preserve">Caming activé Slot 2 (1=oui, 0=non)</t>
  </si>
  <si>
    <t xml:space="preserve">Idem Slot 2</t>
  </si>
  <si>
    <t xml:space="preserve">Heures live / semaine / modèle</t>
  </si>
  <si>
    <t xml:space="preserve">2-4h/jour × 3-5 j/sem. Plafond sain ~20 h/sem.</t>
  </si>
  <si>
    <t xml:space="preserve">Viewers uniques / heure live (moy.)</t>
  </si>
  <si>
    <t xml:space="preserve">Dépend plateforme, créneau, tags. 50-200 réaliste.</t>
  </si>
  <si>
    <t xml:space="preserve">Conversion cam viewer → abonné Fanvue</t>
  </si>
  <si>
    <t xml:space="preserve">2-5 %. À mesurer dès 1er live.</t>
  </si>
  <si>
    <t xml:space="preserve">Facteur de recoupement hebdo (double-compte)</t>
  </si>
  <si>
    <t xml:space="preserve">Un viewer est vu sur 1,5-2 sessions/sem. Ajustement.</t>
  </si>
  <si>
    <t xml:space="preserve">9. MODIFICATEURS DE SCÉNARIOS (pour onglet Scenarios)</t>
  </si>
  <si>
    <t xml:space="preserve">Pessimiste — facteur conversion PPV</t>
  </si>
  <si>
    <t xml:space="preserve">50 % du médian</t>
  </si>
  <si>
    <t xml:space="preserve">Pessimiste — facteur panier moyen</t>
  </si>
  <si>
    <t xml:space="preserve">Pessimiste — facteur rampe abonnés</t>
  </si>
  <si>
    <t xml:space="preserve">Optimiste — facteur conversion PPV</t>
  </si>
  <si>
    <t xml:space="preserve">+ 40 % vs médian</t>
  </si>
  <si>
    <t xml:space="preserve">Optimiste — facteur panier moyen</t>
  </si>
  <si>
    <t xml:space="preserve">Optimiste — facteur rampe abonnés</t>
  </si>
  <si>
    <t xml:space="preserve">NOTES IMPORTANTES</t>
  </si>
  <si>
    <t xml:space="preserve">• Modèle simplifié à 3 modèles actives (Yumi IA + Ruby + Paloma). Ajout modèles futures = duplicata colonnes P&amp;L.</t>
  </si>
  <si>
    <t xml:space="preserve">• Les revenus PPV sont volatils. Le P&amp;L mensuel est une ESPÉRANCE, pas une garantie.</t>
  </si>
  <si>
    <t xml:space="preserve">• TVA : l'hypothèse B2B export UK hors UE = exonération TVA DOIT être confirmée par comptable BE avant clôture.</t>
  </si>
  <si>
    <t xml:space="preserve">• Droit à l'image : plafond ~9 875 €/an à CONFIRMER pour 2026. Si Ruby ou Paloma dépasse, bascule indépendante complémentaire obligatoire.</t>
  </si>
  <si>
    <t xml:space="preserve">• ISOC PME 20 % requiert conditions (rémunération dirigeant min., etc.). À valider.</t>
  </si>
  <si>
    <t xml:space="preserve">• Le modèle ne tient pas compte d'éventuelles pénalités bancaires adult-content ni d'un ban Fanvue (stress-test dans onglet Scenarios).</t>
  </si>
  <si>
    <t xml:space="preserve">HEAVEN — P&amp;L mensuel 24 mois (scénario médian)</t>
  </si>
  <si>
    <t xml:space="preserve">EUR sauf indication. Formules noires, inputs externes en vert.</t>
  </si>
  <si>
    <t xml:space="preserve">Mois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</si>
  <si>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</si>
  <si>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</si>
  <si>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</si>
  <si>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</si>
  <si>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</si>
  <si>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</si>
  <si>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</si>
  <si>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</si>
  <si>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</si>
  <si>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</si>
  <si>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</si>
  <si>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</si>
  <si>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</si>
  <si>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</si>
  <si>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</si>
  <si>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</si>
  <si>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</si>
  <si>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</si>
  <si>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</si>
  <si>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</si>
  <si>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</si>
  <si>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</si>
  <si>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</si>
  <si>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</si>
  <si>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Total 24M</t>
  </si>
  <si>
    <t xml:space="preserve">ABONNÉS FREE FANVUE (cumulés)</t>
  </si>
  <si>
    <t xml:space="preserve">Mode A — Persona IA (cumulé)</t>
  </si>
  <si>
    <t xml:space="preserve">— (stock)</t>
  </si>
  <si>
    <t xml:space="preserve">Mode B — Slot 1 (cumulé, organique + caming)</t>
  </si>
  <si>
    <t xml:space="preserve">Mode B — Slot 2 (cumulé, organique + caming)</t>
  </si>
  <si>
    <t xml:space="preserve">Total abonnés (cumulé)</t>
  </si>
  <si>
    <t xml:space="preserve">REVENUS BRUTS FANVUE</t>
  </si>
  <si>
    <t xml:space="preserve">Revenu brut Mode A (USD)</t>
  </si>
  <si>
    <t xml:space="preserve">Revenu brut Mode B Slot 1 (USD)</t>
  </si>
  <si>
    <t xml:space="preserve">Revenu brut Mode B Slot 2 (USD)</t>
  </si>
  <si>
    <t xml:space="preserve">Total brut Fanvue (USD)</t>
  </si>
  <si>
    <t xml:space="preserve">Total brut Fanvue (EUR)</t>
  </si>
  <si>
    <t xml:space="preserve">COMMISSION FANVUE &amp; NET PLATEFORME</t>
  </si>
  <si>
    <t xml:space="preserve">Commission Fanvue (EUR)</t>
  </si>
  <si>
    <t xml:space="preserve">Net Fanvue (après commission)</t>
  </si>
  <si>
    <t xml:space="preserve">FRAIS DE PRODUCTION (par modèle)</t>
  </si>
  <si>
    <t xml:space="preserve">Prod Mode A</t>
  </si>
  <si>
    <t xml:space="preserve">Prod Mode B Slot 1 (si active)</t>
  </si>
  <si>
    <t xml:space="preserve">Prod Mode B Slot 2 (si active)</t>
  </si>
  <si>
    <t xml:space="preserve">Total frais production</t>
  </si>
  <si>
    <t xml:space="preserve">RÉPARTITION REVENUS MODÈLES (Mode B Slots 1 &amp; 2)</t>
  </si>
  <si>
    <t xml:space="preserve">Net distribuable Mode B Slot 1 (EUR)</t>
  </si>
  <si>
    <t xml:space="preserve">Net distribuable Mode B Slot 2 (EUR)</t>
  </si>
  <si>
    <t xml:space="preserve">Réversion Mode B Slot 1 (70%)</t>
  </si>
  <si>
    <t xml:space="preserve">Réversion Mode B Slot 2 (70%)</t>
  </si>
  <si>
    <t xml:space="preserve">MARGE BRUTE SQWENSY (après Fanvue, prod, réversion)</t>
  </si>
  <si>
    <t xml:space="preserve">Marge brute Sqwensy</t>
  </si>
  <si>
    <t xml:space="preserve">FRAIS FIXES SQWENSY-HEAVEN</t>
  </si>
  <si>
    <t xml:space="preserve">Hosting</t>
  </si>
  <si>
    <t xml:space="preserve">Outils / API / agent IA</t>
  </si>
  <si>
    <t xml:space="preserve">Domaines / misc</t>
  </si>
  <si>
    <t xml:space="preserve">Total frais fixes</t>
  </si>
  <si>
    <t xml:space="preserve">EBITDA &amp; RÉSULTAT</t>
  </si>
  <si>
    <t xml:space="preserve">EBITDA Heaven</t>
  </si>
  <si>
    <t xml:space="preserve">Cotisations INASTI (provision approx)</t>
  </si>
  <si>
    <t xml:space="preserve">ISOC estimé (20 % PME simplifié)</t>
  </si>
  <si>
    <t xml:space="preserve">RÉSULTAT NET HEAVEN (après fiscal)</t>
  </si>
  <si>
    <t xml:space="preserve">ALERTES</t>
  </si>
  <si>
    <t xml:space="preserve">CA cumulé rolling 12M (EUR) — franchise TVA ?</t>
  </si>
  <si>
    <t xml:space="preserve">Seuil : 25000</t>
  </si>
  <si>
    <t xml:space="preserve">HEAVEN — Cash-flow 24 mois (scénario médian)</t>
  </si>
  <si>
    <t xml:space="preserve">Hypothèse : paiement Fanvue encaissé le mois suivant (délai virement/crypto).</t>
  </si>
  <si>
    <t xml:space="preserve">ENTRÉES</t>
  </si>
  <si>
    <t xml:space="preserve">Encaissement Fanvue (décalé M+1)</t>
  </si>
  <si>
    <t xml:space="preserve">SORTIES (immédiates sauf indication)</t>
  </si>
  <si>
    <t xml:space="preserve">Commission Fanvue (-15 %) sur encaissement</t>
  </si>
  <si>
    <t xml:space="preserve">Frais production (immédiats)</t>
  </si>
  <si>
    <t xml:space="preserve">Réversion modèles (payée M+1, après encaissement)</t>
  </si>
  <si>
    <t xml:space="preserve">Frais fixes (immédiats)</t>
  </si>
  <si>
    <t xml:space="preserve">INASTI (provisionné trimestriel)</t>
  </si>
  <si>
    <t xml:space="preserve">ISOC (provisionné)</t>
  </si>
  <si>
    <t xml:space="preserve">SOLDE MENSUEL CASH</t>
  </si>
  <si>
    <t xml:space="preserve">TRÉSORERIE</t>
  </si>
  <si>
    <t xml:space="preserve">Solde cumulé (apport initial + soldes)</t>
  </si>
  <si>
    <t xml:space="preserve">Alerte trésorerie (1=OK, 0=ALERTE)</t>
  </si>
  <si>
    <t xml:space="preserve">HEAVEN — Scénarios comparés 12M et 24M</t>
  </si>
  <si>
    <t xml:space="preserve">Le scénario médian est calculé sur PL_24mois. Pess/Opt appliquent les modificateurs définis dans Hypotheses §8.</t>
  </si>
  <si>
    <t xml:space="preserve">Indicateur</t>
  </si>
  <si>
    <t xml:space="preserve">Pessimiste</t>
  </si>
  <si>
    <t xml:space="preserve">Médian</t>
  </si>
  <si>
    <t xml:space="preserve">Optimiste</t>
  </si>
  <si>
    <t xml:space="preserve">Commentaire</t>
  </si>
  <si>
    <t xml:space="preserve">CA Fanvue brut 12 mois (EUR)</t>
  </si>
  <si>
    <t xml:space="preserve">CA cumulé sur les 12 premiers mois avant commission Fanvue.</t>
  </si>
  <si>
    <t xml:space="preserve">CA Fanvue brut 24 mois (EUR)</t>
  </si>
  <si>
    <t xml:space="preserve">Ambition 24 mois. Stress-test solidité du modèle.</t>
  </si>
  <si>
    <t xml:space="preserve">Marge brute Sqwensy 12 mois</t>
  </si>
  <si>
    <t xml:space="preserve">Après Fanvue fee + frais production + réversion modèles.</t>
  </si>
  <si>
    <t xml:space="preserve">EBITDA Heaven 12 mois</t>
  </si>
  <si>
    <t xml:space="preserve">Après frais fixes. Indicateur clé décision go/no-go annuelle.</t>
  </si>
  <si>
    <t xml:space="preserve">EBITDA Heaven 24 mois</t>
  </si>
  <si>
    <t xml:space="preserve">Trajectoire 2 ans.</t>
  </si>
  <si>
    <t xml:space="preserve">Résultat net 12 mois</t>
  </si>
  <si>
    <t xml:space="preserve">Après INASTI et ISOC simplifié.</t>
  </si>
  <si>
    <t xml:space="preserve">Résultat net 24 mois</t>
  </si>
  <si>
    <t xml:space="preserve">Indicateur principal de rentabilité du projet.</t>
  </si>
  <si>
    <t xml:space="preserve">DÉCISIONS CLÉS DÉRIVÉES</t>
  </si>
  <si>
    <t xml:space="preserve">Mois de dépassement franchise TVA (25 000 €, médian)</t>
  </si>
  <si>
    <t xml:space="preserve">Bascule TVA à préparer 1-2 mois avant.</t>
  </si>
  <si>
    <t xml:space="preserve">Mode B Slot 1 — rémunération 12M (alerte plafond droit à l'image)</t>
  </si>
  <si>
    <t xml:space="preserve">Si &gt; plafond droit à l'image → bascule indépendante complémentaire. Cf. Hypotheses.</t>
  </si>
  <si>
    <t xml:space="preserve">Mode B Slot 2 — rémunération 12M (alerte plafond droit à l'image)</t>
  </si>
  <si>
    <t xml:space="preserve">Idem.</t>
  </si>
  <si>
    <t xml:space="preserve">LECTURE BRUTALE DU MODÈLE</t>
  </si>
  <si>
    <t xml:space="preserve">• Scénario pessimiste : on teste la viabilité si le funnel organique sous-performe. Si l'EBITDA 12M y est &lt; 0, prévoir pivot ou arrêt.</t>
  </si>
  <si>
    <t xml:space="preserve">• Scénario médian : hypothèse de travail par défaut. Doit être réévaluée chaque mois avec les chiffres réels.</t>
  </si>
  <si>
    <t xml:space="preserve">• Scénario optimiste : plafond théorique. Ne PAS l'utiliser pour piloter la trésorerie ou communiquer à un tiers.</t>
  </si>
  <si>
    <t xml:space="preserve">• Toutes les projections PPV sont par nature volatiles. Variance intra-mois de ±40 % est normale.</t>
  </si>
  <si>
    <t xml:space="preserve">• Ce modèle n'intègre pas : ban Fanvue (trajectoire = 0), shadowban prolongé IG (chute rampe abonnés), évolution réglementaire IA Act UE.</t>
  </si>
  <si>
    <t xml:space="preserve">HEAVEN — Mode C : Services B2B modèles indépendantes</t>
  </si>
  <si>
    <t xml:space="preserve">Revenus Mode C distincts des Modes A/B. Ouverture opérationnelle cible : M9. Avant M9, ligne à zéro.</t>
  </si>
  <si>
    <t xml:space="preserve">HYPOTHÈSES MODE C</t>
  </si>
  <si>
    <t xml:space="preserve">Setup fee moyen par cliente (EUR)</t>
  </si>
  <si>
    <t xml:space="preserve">Fourchette 800-2500 €</t>
  </si>
  <si>
    <t xml:space="preserve">Subscription mensuelle moyenne (EUR)</t>
  </si>
  <si>
    <t xml:space="preserve">Fourchette 150-500 €</t>
  </si>
  <si>
    <t xml:space="preserve">Commission croissance % (sur CA cliente)</t>
  </si>
  <si>
    <t xml:space="preserve">Fourchette 5-10 %, optionnelle par contrat</t>
  </si>
  <si>
    <t xml:space="preserve">CA mensuel moyen cliente (EUR, après traction)</t>
  </si>
  <si>
    <t xml:space="preserve">Hypothèse : cliente générant ~30k€/an</t>
  </si>
  <si>
    <t xml:space="preserve">Churn mensuel Mode C</t>
  </si>
  <si>
    <t xml:space="preserve">8 % mensuel = ~60 % annuel — à challenger, stat secteur</t>
  </si>
  <si>
    <t xml:space="preserve">Mois d'ouverture Mode C</t>
  </si>
  <si>
    <t xml:space="preserve">Ne pas ouvrir avant validation Modes A/B</t>
  </si>
  <si>
    <t xml:space="preserve">Nouvelles clientes / mois (après ouverture)</t>
  </si>
  <si>
    <t xml:space="preserve">Conservative. 1/mois = 12/an max.</t>
  </si>
  <si>
    <t xml:space="preserve">P&amp;L MODE C MENSUEL</t>
  </si>
  <si>
    <t xml:space="preserve">Nouvelles clientes acquises</t>
  </si>
  <si>
    <t xml:space="preserve">Clientes actives cumulées (après churn)</t>
  </si>
  <si>
    <t xml:space="preserve">Revenu Setup fee</t>
  </si>
  <si>
    <t xml:space="preserve">Revenu Subscription</t>
  </si>
  <si>
    <t xml:space="preserve">Revenu Commission croissance</t>
  </si>
  <si>
    <t xml:space="preserve">TOTAL REVENU MODE C</t>
  </si>
  <si>
    <t xml:space="preserve">COÛTS OPÉRATIONNELS MODE C</t>
  </si>
  <si>
    <t xml:space="preserve">Coût infra dédiée / cliente active</t>
  </si>
  <si>
    <t xml:space="preserve">Coût temps humain (2h/mois/cliente @ 40€)</t>
  </si>
  <si>
    <t xml:space="preserve">MARGE BRUTE MODE C</t>
  </si>
  <si>
    <t xml:space="preserve">NOTES MODE C</t>
  </si>
  <si>
    <t xml:space="preserve">• Mode C à ouvrir M9 uniquement si Modes A et B ont passé leurs milestones (cf. BP §9).</t>
  </si>
  <si>
    <t xml:space="preserve">• Hypothèse acquisition conservative (1 cliente/mois). À valider en fonction du canal d'acquisition B2B (réseau, contenu, referral).</t>
  </si>
  <si>
    <t xml:space="preserve">• Commission croissance à négocier par contrat — ne pas garantir un chiffre.</t>
  </si>
  <si>
    <t xml:space="preserve">• Le modèle NE consolide PAS Mode A/B/C — chaque mode a son P&amp;L distinct pour clarté stratégique.</t>
  </si>
  <si>
    <t xml:space="preserve">• Mode C n'est PAS un SaaS. C'est du service. Ne pas projeter des marges de SaaS (80 %+) — attendre 30-50 % réaliste.</t>
  </si>
  <si>
    <t xml:space="preserve">HEAVEN — Simulateur paliers de rémunération modèle</t>
  </si>
  <si>
    <t xml:space="preserve">Entre le revenu brut mensuel plateforme que la modèle génère. Le simulateur calcule le palier applicable et le net estimé modèle.</t>
  </si>
  <si>
    <t xml:space="preserve">INPUT SIMULATEUR</t>
  </si>
  <si>
    <t xml:space="preserve">Revenu brut Fanvue mensuel de la modèle (EUR)</t>
  </si>
  <si>
    <t xml:space="preserve">Frais production dédiés (EUR/mois)</t>
  </si>
  <si>
    <t xml:space="preserve">Statut (1=Salariée, 2=Étudiante, 3=Chômage, 4=Sans act., 5=Pensionnée)</t>
  </si>
  <si>
    <t xml:space="preserve">CALCULS</t>
  </si>
  <si>
    <t xml:space="preserve">Revenu brut annualisé plateforme</t>
  </si>
  <si>
    <t xml:space="preserve">Net distribuable mensuel (après 15% Fanvue - frais)</t>
  </si>
  <si>
    <t xml:space="preserve">Part modèle 70 % mensuel (brut avant fiscalité)</t>
  </si>
  <si>
    <t xml:space="preserve">Part modèle annualisée (brut avant fiscalité)</t>
  </si>
  <si>
    <t xml:space="preserve">Palier applicable</t>
  </si>
  <si>
    <t xml:space="preserve">Voie fiscale recommandée</t>
  </si>
  <si>
    <t xml:space="preserve">Charge fiscale estimée (% du brut modèle)</t>
  </si>
  <si>
    <t xml:space="preserve">Net modèle estimé annualisé (après charges)</t>
  </si>
  <si>
    <t xml:space="preserve">Net modèle estimé mensuel</t>
  </si>
  <si>
    <t xml:space="preserve">ALERTE STATUT</t>
  </si>
  <si>
    <t xml:space="preserve">Message</t>
  </si>
  <si>
    <t xml:space="preserve">• Tous les chiffres fiscaux sont des ORDRES DE GRANDEUR 2024-2025. À CONFIRMER pour 2026 par comptable BE.</t>
  </si>
  <si>
    <t xml:space="preserve">• Palier P1/P2 : ~15% charge (régime mobilier art. 17 CIR92, taux 30% sur base après frais forfaitaires 50%).</t>
  </si>
  <si>
    <t xml:space="preserve">• Palier P3 : ~25-30% charge (cotisations INASTI indépendant complémentaire ~20,5% + IPP tranches progressives).</t>
  </si>
  <si>
    <t xml:space="preserve">• Palier P4 : ~35-45% charge (INASTI + IPP + potentiel collecte TVA 21% sur prix de vente).</t>
  </si>
  <si>
    <t xml:space="preserve">• Plafond droit à l'image cité ~10 000€/an (indicatif). Requalification possible si montant important et régulier.</t>
  </si>
  <si>
    <t xml:space="preserve">• Cotisations INASTI indépendant complémentaire QUASI-NULLES tant que revenu net &lt; ~1 873€/an (seuil 2024).</t>
  </si>
  <si>
    <t xml:space="preserve">• Le modèle ne tient pas compte des éventuels plafonds de cumul spécifiques au statut (chômage, pension).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</si>
</sst>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$ &quot;#,##0;&quot;($ &quot;#,##0\);\-"/>
    <numFmt numFmtId="166" formatCode="0.0%;\(0.0%\);\-"/>
    <numFmt numFmtId="167" formatCode="&quot;€ &quot;#,##0;&quot;(€ &quot;#,##0\);\-"/>
    <numFmt numFmtId="168" formatCode="#,##0;\(#,##0\);\-"/>
    <numFmt numFmtId="169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5E7EB"/>
        <bgColor rgb="FFF3F4F6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E5E7EB"/>
      </patternFill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1B1B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18</v>
      </c>
      <c r="C5" s="2" t="s">
        <v>4</v>
      </c>
    </row>
    <row r="6" customFormat="false" ht="15" hidden="false" customHeight="false" outlineLevel="0" collapsed="false">
      <c r="A6" s="5" t="s">
        <v>5</v>
      </c>
      <c r="B6" s="7" t="n">
        <v>0.04</v>
      </c>
      <c r="C6" s="2" t="s">
        <v>6</v>
      </c>
    </row>
    <row r="7" customFormat="false" ht="15" hidden="false" customHeight="false" outlineLevel="0" collapsed="false">
      <c r="A7" s="5" t="s">
        <v>7</v>
      </c>
      <c r="B7" s="8" t="n">
        <v>0.45</v>
      </c>
      <c r="C7" s="2" t="s">
        <v>8</v>
      </c>
    </row>
    <row r="8" customFormat="false" ht="15" hidden="false" customHeight="false" outlineLevel="0" collapsed="false">
      <c r="A8" s="5" t="s">
        <v>9</v>
      </c>
      <c r="B8" s="8" t="n">
        <v>0.15</v>
      </c>
      <c r="C8" s="2" t="s">
        <v>10</v>
      </c>
    </row>
    <row r="9" customFormat="false" ht="15" hidden="false" customHeight="false" outlineLevel="0" collapsed="false">
      <c r="A9" s="5" t="s">
        <v>11</v>
      </c>
      <c r="B9" s="9" t="n">
        <v>0.92</v>
      </c>
      <c r="C9" s="2" t="s">
        <v>12</v>
      </c>
    </row>
    <row r="11" customFormat="false" ht="15" hidden="false" customHeight="false" outlineLevel="0" collapsed="false">
      <c r="A11" s="3" t="s">
        <v>13</v>
      </c>
      <c r="B11" s="4"/>
      <c r="C11" s="4"/>
    </row>
    <row r="12" customFormat="false" ht="15" hidden="false" customHeight="false" outlineLevel="0" collapsed="false">
      <c r="A12" s="5" t="s">
        <v>14</v>
      </c>
      <c r="B12" s="7" t="n">
        <v>0.7</v>
      </c>
      <c r="C12" s="2" t="s">
        <v>15</v>
      </c>
    </row>
    <row r="13" customFormat="false" ht="15" hidden="false" customHeight="false" outlineLevel="0" collapsed="false">
      <c r="A13" s="5" t="s">
        <v>16</v>
      </c>
      <c r="B13" s="7" t="n">
        <v>0.7</v>
      </c>
      <c r="C13" s="2" t="s">
        <v>17</v>
      </c>
    </row>
    <row r="14" customFormat="false" ht="15" hidden="false" customHeight="false" outlineLevel="0" collapsed="false">
      <c r="A14" s="5" t="s">
        <v>18</v>
      </c>
      <c r="B14" s="8" t="n">
        <v>0</v>
      </c>
      <c r="C14" s="2" t="s">
        <v>19</v>
      </c>
    </row>
    <row r="16" customFormat="false" ht="15" hidden="false" customHeight="false" outlineLevel="0" collapsed="false">
      <c r="A16" s="3" t="s">
        <v>20</v>
      </c>
      <c r="B16" s="4"/>
      <c r="C16" s="4"/>
    </row>
    <row r="17" customFormat="false" ht="15" hidden="false" customHeight="false" outlineLevel="0" collapsed="false">
      <c r="A17" s="5" t="s">
        <v>21</v>
      </c>
      <c r="B17" s="10" t="n">
        <v>80</v>
      </c>
      <c r="C17" s="2" t="s">
        <v>22</v>
      </c>
    </row>
    <row r="18" customFormat="false" ht="15" hidden="false" customHeight="false" outlineLevel="0" collapsed="false">
      <c r="A18" s="5" t="s">
        <v>23</v>
      </c>
      <c r="B18" s="10" t="n">
        <v>120</v>
      </c>
      <c r="C18" s="2" t="s">
        <v>24</v>
      </c>
    </row>
    <row r="19" customFormat="false" ht="15" hidden="false" customHeight="false" outlineLevel="0" collapsed="false">
      <c r="A19" s="5" t="s">
        <v>25</v>
      </c>
      <c r="B19" s="10" t="n">
        <v>120</v>
      </c>
      <c r="C19" s="2" t="s">
        <v>26</v>
      </c>
    </row>
    <row r="21" customFormat="false" ht="15" hidden="false" customHeight="false" outlineLevel="0" collapsed="false">
      <c r="A21" s="3" t="s">
        <v>27</v>
      </c>
      <c r="B21" s="4"/>
      <c r="C21" s="4"/>
    </row>
    <row r="22" customFormat="false" ht="15" hidden="false" customHeight="false" outlineLevel="0" collapsed="false">
      <c r="A22" s="5" t="s">
        <v>28</v>
      </c>
      <c r="B22" s="10" t="n">
        <v>25</v>
      </c>
      <c r="C22" s="2" t="s">
        <v>29</v>
      </c>
    </row>
    <row r="23" customFormat="false" ht="15" hidden="false" customHeight="false" outlineLevel="0" collapsed="false">
      <c r="A23" s="5" t="s">
        <v>30</v>
      </c>
      <c r="B23" s="10" t="n">
        <v>40</v>
      </c>
      <c r="C23" s="2" t="s">
        <v>31</v>
      </c>
    </row>
    <row r="24" customFormat="false" ht="15" hidden="false" customHeight="false" outlineLevel="0" collapsed="false">
      <c r="A24" s="5" t="s">
        <v>32</v>
      </c>
      <c r="B24" s="10" t="n">
        <v>10</v>
      </c>
    </row>
    <row r="25" customFormat="false" ht="15" hidden="false" customHeight="false" outlineLevel="0" collapsed="false">
      <c r="A25" s="5" t="s">
        <v>33</v>
      </c>
      <c r="B25" s="10" t="n">
        <v>80</v>
      </c>
      <c r="C25" s="2" t="s">
        <v>34</v>
      </c>
    </row>
    <row r="27" customFormat="false" ht="15" hidden="false" customHeight="false" outlineLevel="0" collapsed="false">
      <c r="A27" s="3" t="s">
        <v>35</v>
      </c>
      <c r="B27" s="4"/>
      <c r="C27" s="4"/>
    </row>
    <row r="28" customFormat="false" ht="15" hidden="false" customHeight="false" outlineLevel="0" collapsed="false">
      <c r="A28" s="5" t="s">
        <v>36</v>
      </c>
      <c r="B28" s="11" t="n">
        <v>2000</v>
      </c>
      <c r="C28" s="2" t="s">
        <v>37</v>
      </c>
    </row>
    <row r="29" customFormat="false" ht="15" hidden="false" customHeight="false" outlineLevel="0" collapsed="false">
      <c r="A29" s="5" t="s">
        <v>38</v>
      </c>
      <c r="B29" s="12" t="n">
        <v>3</v>
      </c>
      <c r="C29" s="2" t="s">
        <v>39</v>
      </c>
    </row>
    <row r="31" customFormat="false" ht="15" hidden="false" customHeight="false" outlineLevel="0" collapsed="false">
      <c r="A31" s="3" t="s">
        <v>40</v>
      </c>
      <c r="B31" s="4"/>
      <c r="C31" s="4"/>
    </row>
    <row r="32" customFormat="false" ht="15" hidden="false" customHeight="false" outlineLevel="0" collapsed="false">
      <c r="A32" s="5" t="s">
        <v>41</v>
      </c>
      <c r="B32" s="11" t="n">
        <v>25000</v>
      </c>
      <c r="C32" s="2" t="s">
        <v>42</v>
      </c>
    </row>
    <row r="33" customFormat="false" ht="15" hidden="false" customHeight="false" outlineLevel="0" collapsed="false">
      <c r="A33" s="5" t="s">
        <v>43</v>
      </c>
      <c r="B33" s="13" t="n">
        <v>0</v>
      </c>
      <c r="C33" s="2" t="s">
        <v>44</v>
      </c>
    </row>
    <row r="34" customFormat="false" ht="15" hidden="false" customHeight="false" outlineLevel="0" collapsed="false">
      <c r="A34" s="5" t="s">
        <v>45</v>
      </c>
      <c r="B34" s="8" t="n">
        <v>0.2</v>
      </c>
      <c r="C34" s="2" t="s">
        <v>46</v>
      </c>
    </row>
    <row r="35" customFormat="false" ht="15" hidden="false" customHeight="false" outlineLevel="0" collapsed="false">
      <c r="A35" s="5" t="s">
        <v>47</v>
      </c>
      <c r="B35" s="8" t="n">
        <v>0.25</v>
      </c>
    </row>
    <row r="36" customFormat="false" ht="15" hidden="false" customHeight="false" outlineLevel="0" collapsed="false">
      <c r="A36" s="5" t="s">
        <v>48</v>
      </c>
      <c r="B36" s="7" t="n">
        <v>0.205</v>
      </c>
      <c r="C36" s="2" t="s">
        <v>49</v>
      </c>
    </row>
    <row r="37" customFormat="false" ht="15" hidden="false" customHeight="false" outlineLevel="0" collapsed="false">
      <c r="A37" s="5" t="s">
        <v>50</v>
      </c>
      <c r="B37" s="14" t="n">
        <v>9875</v>
      </c>
      <c r="C37" s="2" t="s">
        <v>51</v>
      </c>
    </row>
    <row r="39" customFormat="false" ht="15" hidden="false" customHeight="false" outlineLevel="0" collapsed="false">
      <c r="A39" s="3" t="s">
        <v>52</v>
      </c>
      <c r="B39" s="4"/>
      <c r="C39" s="4"/>
    </row>
    <row r="40" customFormat="false" ht="15" hidden="false" customHeight="false" outlineLevel="0" collapsed="false">
      <c r="A40" s="5" t="s">
        <v>53</v>
      </c>
      <c r="B40" s="12" t="n">
        <v>80</v>
      </c>
      <c r="C40" s="2" t="s">
        <v>54</v>
      </c>
    </row>
    <row r="41" customFormat="false" ht="15" hidden="false" customHeight="false" outlineLevel="0" collapsed="false">
      <c r="A41" s="5" t="s">
        <v>55</v>
      </c>
      <c r="B41" s="12" t="n">
        <v>150</v>
      </c>
      <c r="C41" s="2" t="s">
        <v>56</v>
      </c>
    </row>
    <row r="42" customFormat="false" ht="15" hidden="false" customHeight="false" outlineLevel="0" collapsed="false">
      <c r="A42" s="5" t="s">
        <v>57</v>
      </c>
      <c r="B42" s="12" t="n">
        <v>4</v>
      </c>
      <c r="C42" s="2" t="s">
        <v>58</v>
      </c>
    </row>
    <row r="43" customFormat="false" ht="15" hidden="false" customHeight="false" outlineLevel="0" collapsed="false">
      <c r="A43" s="5" t="s">
        <v>59</v>
      </c>
      <c r="B43" s="12" t="n">
        <v>130</v>
      </c>
    </row>
    <row r="44" customFormat="false" ht="15" hidden="false" customHeight="false" outlineLevel="0" collapsed="false">
      <c r="A44" s="5" t="s">
        <v>60</v>
      </c>
      <c r="B44" s="12" t="n">
        <v>5</v>
      </c>
    </row>
    <row r="45" customFormat="false" ht="15" hidden="false" customHeight="false" outlineLevel="0" collapsed="false">
      <c r="A45" s="5" t="s">
        <v>61</v>
      </c>
      <c r="B45" s="12" t="n">
        <v>120</v>
      </c>
    </row>
    <row r="47" customFormat="false" ht="15" hidden="false" customHeight="false" outlineLevel="0" collapsed="false">
      <c r="A47" s="3" t="s">
        <v>62</v>
      </c>
      <c r="B47" s="4"/>
      <c r="C47" s="4"/>
    </row>
    <row r="48" customFormat="false" ht="15" hidden="false" customHeight="false" outlineLevel="0" collapsed="false">
      <c r="A48" s="5" t="s">
        <v>63</v>
      </c>
      <c r="B48" s="15" t="n">
        <v>1</v>
      </c>
      <c r="C48" s="2" t="s">
        <v>64</v>
      </c>
    </row>
    <row r="49" customFormat="false" ht="15" hidden="false" customHeight="false" outlineLevel="0" collapsed="false">
      <c r="A49" s="5" t="s">
        <v>65</v>
      </c>
      <c r="B49" s="15" t="n">
        <v>1</v>
      </c>
      <c r="C49" s="2" t="s">
        <v>66</v>
      </c>
    </row>
    <row r="50" customFormat="false" ht="15" hidden="false" customHeight="false" outlineLevel="0" collapsed="false">
      <c r="A50" s="5" t="s">
        <v>67</v>
      </c>
      <c r="B50" s="12" t="n">
        <v>12</v>
      </c>
      <c r="C50" s="2" t="s">
        <v>68</v>
      </c>
    </row>
    <row r="51" customFormat="false" ht="15" hidden="false" customHeight="false" outlineLevel="0" collapsed="false">
      <c r="A51" s="5" t="s">
        <v>69</v>
      </c>
      <c r="B51" s="12" t="n">
        <v>80</v>
      </c>
      <c r="C51" s="2" t="s">
        <v>70</v>
      </c>
    </row>
    <row r="52" customFormat="false" ht="15" hidden="false" customHeight="false" outlineLevel="0" collapsed="false">
      <c r="A52" s="5" t="s">
        <v>71</v>
      </c>
      <c r="B52" s="8" t="n">
        <v>0.03</v>
      </c>
      <c r="C52" s="2" t="s">
        <v>72</v>
      </c>
    </row>
    <row r="53" customFormat="false" ht="15" hidden="false" customHeight="false" outlineLevel="0" collapsed="false">
      <c r="A53" s="5" t="s">
        <v>73</v>
      </c>
      <c r="B53" s="8" t="n">
        <v>0.45</v>
      </c>
      <c r="C53" s="2" t="s">
        <v>74</v>
      </c>
    </row>
    <row r="55" customFormat="false" ht="15" hidden="false" customHeight="false" outlineLevel="0" collapsed="false">
      <c r="A55" s="3" t="s">
        <v>75</v>
      </c>
      <c r="B55" s="4"/>
      <c r="C55" s="4"/>
    </row>
    <row r="56" customFormat="false" ht="15" hidden="false" customHeight="false" outlineLevel="0" collapsed="false">
      <c r="A56" s="5" t="s">
        <v>76</v>
      </c>
      <c r="B56" s="8" t="n">
        <v>0.5</v>
      </c>
      <c r="C56" s="2" t="s">
        <v>77</v>
      </c>
    </row>
    <row r="57" customFormat="false" ht="15" hidden="false" customHeight="false" outlineLevel="0" collapsed="false">
      <c r="A57" s="5" t="s">
        <v>78</v>
      </c>
      <c r="B57" s="8" t="n">
        <v>0.7</v>
      </c>
    </row>
    <row r="58" customFormat="false" ht="15" hidden="false" customHeight="false" outlineLevel="0" collapsed="false">
      <c r="A58" s="5" t="s">
        <v>79</v>
      </c>
      <c r="B58" s="8" t="n">
        <v>0.6</v>
      </c>
    </row>
    <row r="59" customFormat="false" ht="15" hidden="false" customHeight="false" outlineLevel="0" collapsed="false">
      <c r="A59" s="5" t="s">
        <v>80</v>
      </c>
      <c r="B59" s="8" t="n">
        <v>1.4</v>
      </c>
      <c r="C59" s="2" t="s">
        <v>81</v>
      </c>
    </row>
    <row r="60" customFormat="false" ht="15" hidden="false" customHeight="false" outlineLevel="0" collapsed="false">
      <c r="A60" s="5" t="s">
        <v>82</v>
      </c>
      <c r="B60" s="8" t="n">
        <v>1.2</v>
      </c>
    </row>
    <row r="61" customFormat="false" ht="15" hidden="false" customHeight="false" outlineLevel="0" collapsed="false">
      <c r="A61" s="5" t="s">
        <v>83</v>
      </c>
      <c r="B61" s="8" t="n">
        <v>1.5</v>
      </c>
    </row>
    <row r="64" customFormat="false" ht="15" hidden="false" customHeight="false" outlineLevel="0" collapsed="false">
      <c r="A64" s="3" t="s">
        <v>84</v>
      </c>
      <c r="B64" s="4"/>
      <c r="C64" s="4"/>
    </row>
    <row r="65" customFormat="false" ht="15" hidden="false" customHeight="false" outlineLevel="0" collapsed="false">
      <c r="A65" s="16" t="s">
        <v>85</v>
      </c>
      <c r="B65" s="16"/>
      <c r="C65" s="16"/>
    </row>
    <row r="66" customFormat="false" ht="15" hidden="false" customHeight="false" outlineLevel="0" collapsed="false">
      <c r="A66" s="16" t="s">
        <v>86</v>
      </c>
      <c r="B66" s="16"/>
      <c r="C66" s="16"/>
    </row>
    <row r="67" customFormat="false" ht="15" hidden="false" customHeight="false" outlineLevel="0" collapsed="false">
      <c r="A67" s="16" t="s">
        <v>87</v>
      </c>
      <c r="B67" s="16"/>
      <c r="C67" s="16"/>
    </row>
    <row r="68" customFormat="false" ht="15" hidden="false" customHeight="false" outlineLevel="0" collapsed="false">
      <c r="A68" s="16" t="s">
        <v>88</v>
      </c>
      <c r="B68" s="16"/>
      <c r="C68" s="16"/>
    </row>
    <row r="69" customFormat="false" ht="15" hidden="false" customHeight="false" outlineLevel="0" collapsed="false">
      <c r="A69" s="16" t="s">
        <v>89</v>
      </c>
      <c r="B69" s="16"/>
      <c r="C69" s="16"/>
    </row>
    <row r="70" customFormat="false" ht="15" hidden="false" customHeight="false" outlineLevel="0" collapsed="false">
      <c r="A70" s="16" t="s">
        <v>90</v>
      </c>
      <c r="B70" s="16"/>
      <c r="C70" s="16"/>
    </row>
  </sheetData>
  <mergeCells count="6">
    <mergeCell ref="A65:C65"/>
    <mergeCell ref="A66:C66"/>
    <mergeCell ref="A67:C67"/>
    <mergeCell ref="A68:C68"/>
    <mergeCell ref="A69:C69"/>
    <mergeCell ref="A70:C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7" min="2" style="0" width="11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15" hidden="false" customHeight="false" outlineLevel="0" collapsed="false">
      <c r="A4" s="17" t="s">
        <v>93</v>
      </c>
      <c r="B4" s="18" t="s">
        <v>94</v>
      </c>
      <c r="C4" s="18" t="s">
        <v>95</v>
      </c>
      <c r="D4" s="18" t="s">
        <v>96</v>
      </c>
      <c r="E4" s="18" t="s">
        <v>97</v>
      </c>
      <c r="F4" s="18" t="s">
        <v>98</v>
      </c>
      <c r="G4" s="18" t="s">
        <v>99</v>
      </c>
      <c r="H4" s="18" t="s">
        <v>100</v>
      </c>
      <c r="I4" s="18" t="s">
        <v>101</v>
      </c>
      <c r="J4" s="18" t="s">
        <v>102</v>
      </c>
      <c r="K4" s="18" t="s">
        <v>103</v>
      </c>
      <c r="L4" s="18" t="s">
        <v>104</v>
      </c>
      <c r="M4" s="18" t="s">
        <v>105</v>
      </c>
      <c r="N4" s="18" t="s">
        <v>106</v>
      </c>
      <c r="O4" s="18" t="s">
        <v>107</v>
      </c>
      <c r="P4" s="18" t="s">
        <v>108</v>
      </c>
      <c r="Q4" s="18" t="s">
        <v>109</v>
      </c>
      <c r="R4" s="18" t="s">
        <v>110</v>
      </c>
      <c r="S4" s="18" t="s">
        <v>111</v>
      </c>
      <c r="T4" s="18" t="s">
        <v>112</v>
      </c>
      <c r="U4" s="18" t="s">
        <v>113</v>
      </c>
      <c r="V4" s="18" t="s">
        <v>114</v>
      </c>
      <c r="W4" s="18" t="s">
        <v>115</v>
      </c>
      <c r="X4" s="18" t="s">
        <v>116</v>
      </c>
      <c r="Y4" s="18" t="s">
        <v>117</v>
      </c>
      <c r="Z4" s="18" t="s">
        <v>118</v>
      </c>
    </row>
    <row r="5" customFormat="false" ht="15" hidden="false" customHeight="false" outlineLevel="0" collapsed="false">
      <c r="A5" s="3" t="s">
        <v>119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" hidden="false" customHeight="false" outlineLevel="0" collapsed="false">
      <c r="A6" s="5" t="s">
        <v>120</v>
      </c>
      <c r="B6" s="19" t="n">
        <f aca="false">Hypotheses!$B$40</f>
        <v>80</v>
      </c>
      <c r="C6" s="20" t="n">
        <f aca="false">B6+Hypotheses!$B$41</f>
        <v>230</v>
      </c>
      <c r="D6" s="20" t="n">
        <f aca="false">C6+Hypotheses!$B$41</f>
        <v>380</v>
      </c>
      <c r="E6" s="20" t="n">
        <f aca="false">D6+Hypotheses!$B$41</f>
        <v>530</v>
      </c>
      <c r="F6" s="20" t="n">
        <f aca="false">E6+Hypotheses!$B$41</f>
        <v>680</v>
      </c>
      <c r="G6" s="20" t="n">
        <f aca="false">F6+Hypotheses!$B$41</f>
        <v>830</v>
      </c>
      <c r="H6" s="20" t="n">
        <f aca="false">G6+Hypotheses!$B$41</f>
        <v>980</v>
      </c>
      <c r="I6" s="20" t="n">
        <f aca="false">H6+Hypotheses!$B$41</f>
        <v>1130</v>
      </c>
      <c r="J6" s="20" t="n">
        <f aca="false">I6+Hypotheses!$B$41</f>
        <v>1280</v>
      </c>
      <c r="K6" s="20" t="n">
        <f aca="false">J6+Hypotheses!$B$41</f>
        <v>1430</v>
      </c>
      <c r="L6" s="20" t="n">
        <f aca="false">K6+Hypotheses!$B$41</f>
        <v>1580</v>
      </c>
      <c r="M6" s="20" t="n">
        <f aca="false">L6+Hypotheses!$B$41</f>
        <v>1730</v>
      </c>
      <c r="N6" s="20" t="n">
        <f aca="false">M6+Hypotheses!$B$41</f>
        <v>1880</v>
      </c>
      <c r="O6" s="20" t="n">
        <f aca="false">N6+Hypotheses!$B$41</f>
        <v>2030</v>
      </c>
      <c r="P6" s="20" t="n">
        <f aca="false">O6+Hypotheses!$B$41</f>
        <v>2180</v>
      </c>
      <c r="Q6" s="20" t="n">
        <f aca="false">P6+Hypotheses!$B$41</f>
        <v>2330</v>
      </c>
      <c r="R6" s="20" t="n">
        <f aca="false">Q6+Hypotheses!$B$41</f>
        <v>2480</v>
      </c>
      <c r="S6" s="20" t="n">
        <f aca="false">R6+Hypotheses!$B$41</f>
        <v>2630</v>
      </c>
      <c r="T6" s="20" t="n">
        <f aca="false">S6+Hypotheses!$B$41</f>
        <v>2780</v>
      </c>
      <c r="U6" s="20" t="n">
        <f aca="false">T6+Hypotheses!$B$41</f>
        <v>2930</v>
      </c>
      <c r="V6" s="20" t="n">
        <f aca="false">U6+Hypotheses!$B$41</f>
        <v>3080</v>
      </c>
      <c r="W6" s="20" t="n">
        <f aca="false">V6+Hypotheses!$B$41</f>
        <v>3230</v>
      </c>
      <c r="X6" s="20" t="n">
        <f aca="false">W6+Hypotheses!$B$41</f>
        <v>3380</v>
      </c>
      <c r="Y6" s="20" t="n">
        <f aca="false">X6+Hypotheses!$B$41</f>
        <v>3530</v>
      </c>
      <c r="Z6" s="2" t="s">
        <v>121</v>
      </c>
    </row>
    <row r="7" customFormat="false" ht="15" hidden="false" customHeight="false" outlineLevel="0" collapsed="false">
      <c r="A7" s="5" t="s">
        <v>122</v>
      </c>
      <c r="B7" s="20" t="n">
        <f aca="false">IF(1&gt;=Hypotheses!$B$42,(Hypotheses!$B$43+Hypotheses!$B$48*Hypotheses!$B$50*4.33*Hypotheses!$B$51*Hypotheses!$B$52*(1-Hypotheses!$B$53))*(1-Hypotheses!$B$42+1),0)</f>
        <v>0</v>
      </c>
      <c r="C7" s="20" t="n">
        <f aca="false">IF(2&gt;=Hypotheses!$B$42,B7+(Hypotheses!$B$43+Hypotheses!$B$48*Hypotheses!$B$50*4.33*Hypotheses!$B$51*Hypotheses!$B$52*(1-Hypotheses!$B$53)),0)</f>
        <v>0</v>
      </c>
      <c r="D7" s="20" t="n">
        <f aca="false">IF(3&gt;=Hypotheses!$B$42,C7+(Hypotheses!$B$43+Hypotheses!$B$48*Hypotheses!$B$50*4.33*Hypotheses!$B$51*Hypotheses!$B$52*(1-Hypotheses!$B$53)),0)</f>
        <v>0</v>
      </c>
      <c r="E7" s="20" t="n">
        <f aca="false">IF(4&gt;=Hypotheses!$B$42,D7+(Hypotheses!$B$43+Hypotheses!$B$48*Hypotheses!$B$50*4.33*Hypotheses!$B$51*Hypotheses!$B$52*(1-Hypotheses!$B$53)),0)</f>
        <v>198.5872</v>
      </c>
      <c r="F7" s="20" t="n">
        <f aca="false">IF(5&gt;=Hypotheses!$B$42,E7+(Hypotheses!$B$43+Hypotheses!$B$48*Hypotheses!$B$50*4.33*Hypotheses!$B$51*Hypotheses!$B$52*(1-Hypotheses!$B$53)),0)</f>
        <v>397.1744</v>
      </c>
      <c r="G7" s="20" t="n">
        <f aca="false">IF(6&gt;=Hypotheses!$B$42,F7+(Hypotheses!$B$43+Hypotheses!$B$48*Hypotheses!$B$50*4.33*Hypotheses!$B$51*Hypotheses!$B$52*(1-Hypotheses!$B$53)),0)</f>
        <v>595.7616</v>
      </c>
      <c r="H7" s="20" t="n">
        <f aca="false">IF(7&gt;=Hypotheses!$B$42,G7+(Hypotheses!$B$43+Hypotheses!$B$48*Hypotheses!$B$50*4.33*Hypotheses!$B$51*Hypotheses!$B$52*(1-Hypotheses!$B$53)),0)</f>
        <v>794.3488</v>
      </c>
      <c r="I7" s="20" t="n">
        <f aca="false">IF(8&gt;=Hypotheses!$B$42,H7+(Hypotheses!$B$43+Hypotheses!$B$48*Hypotheses!$B$50*4.33*Hypotheses!$B$51*Hypotheses!$B$52*(1-Hypotheses!$B$53)),0)</f>
        <v>992.936</v>
      </c>
      <c r="J7" s="20" t="n">
        <f aca="false">IF(9&gt;=Hypotheses!$B$42,I7+(Hypotheses!$B$43+Hypotheses!$B$48*Hypotheses!$B$50*4.33*Hypotheses!$B$51*Hypotheses!$B$52*(1-Hypotheses!$B$53)),0)</f>
        <v>1191.5232</v>
      </c>
      <c r="K7" s="20" t="n">
        <f aca="false">IF(10&gt;=Hypotheses!$B$42,J7+(Hypotheses!$B$43+Hypotheses!$B$48*Hypotheses!$B$50*4.33*Hypotheses!$B$51*Hypotheses!$B$52*(1-Hypotheses!$B$53)),0)</f>
        <v>1390.1104</v>
      </c>
      <c r="L7" s="20" t="n">
        <f aca="false">IF(11&gt;=Hypotheses!$B$42,K7+(Hypotheses!$B$43+Hypotheses!$B$48*Hypotheses!$B$50*4.33*Hypotheses!$B$51*Hypotheses!$B$52*(1-Hypotheses!$B$53)),0)</f>
        <v>1588.6976</v>
      </c>
      <c r="M7" s="20" t="n">
        <f aca="false">IF(12&gt;=Hypotheses!$B$42,L7+(Hypotheses!$B$43+Hypotheses!$B$48*Hypotheses!$B$50*4.33*Hypotheses!$B$51*Hypotheses!$B$52*(1-Hypotheses!$B$53)),0)</f>
        <v>1787.2848</v>
      </c>
      <c r="N7" s="20" t="n">
        <f aca="false">IF(13&gt;=Hypotheses!$B$42,M7+(Hypotheses!$B$43+Hypotheses!$B$48*Hypotheses!$B$50*4.33*Hypotheses!$B$51*Hypotheses!$B$52*(1-Hypotheses!$B$53)),0)</f>
        <v>1985.872</v>
      </c>
      <c r="O7" s="20" t="n">
        <f aca="false">IF(14&gt;=Hypotheses!$B$42,N7+(Hypotheses!$B$43+Hypotheses!$B$48*Hypotheses!$B$50*4.33*Hypotheses!$B$51*Hypotheses!$B$52*(1-Hypotheses!$B$53)),0)</f>
        <v>2184.4592</v>
      </c>
      <c r="P7" s="20" t="n">
        <f aca="false">IF(15&gt;=Hypotheses!$B$42,O7+(Hypotheses!$B$43+Hypotheses!$B$48*Hypotheses!$B$50*4.33*Hypotheses!$B$51*Hypotheses!$B$52*(1-Hypotheses!$B$53)),0)</f>
        <v>2383.0464</v>
      </c>
      <c r="Q7" s="20" t="n">
        <f aca="false">IF(16&gt;=Hypotheses!$B$42,P7+(Hypotheses!$B$43+Hypotheses!$B$48*Hypotheses!$B$50*4.33*Hypotheses!$B$51*Hypotheses!$B$52*(1-Hypotheses!$B$53)),0)</f>
        <v>2581.6336</v>
      </c>
      <c r="R7" s="20" t="n">
        <f aca="false">IF(17&gt;=Hypotheses!$B$42,Q7+(Hypotheses!$B$43+Hypotheses!$B$48*Hypotheses!$B$50*4.33*Hypotheses!$B$51*Hypotheses!$B$52*(1-Hypotheses!$B$53)),0)</f>
        <v>2780.2208</v>
      </c>
      <c r="S7" s="20" t="n">
        <f aca="false">IF(18&gt;=Hypotheses!$B$42,R7+(Hypotheses!$B$43+Hypotheses!$B$48*Hypotheses!$B$50*4.33*Hypotheses!$B$51*Hypotheses!$B$52*(1-Hypotheses!$B$53)),0)</f>
        <v>2978.808</v>
      </c>
      <c r="T7" s="20" t="n">
        <f aca="false">IF(19&gt;=Hypotheses!$B$42,S7+(Hypotheses!$B$43+Hypotheses!$B$48*Hypotheses!$B$50*4.33*Hypotheses!$B$51*Hypotheses!$B$52*(1-Hypotheses!$B$53)),0)</f>
        <v>3177.3952</v>
      </c>
      <c r="U7" s="20" t="n">
        <f aca="false">IF(20&gt;=Hypotheses!$B$42,T7+(Hypotheses!$B$43+Hypotheses!$B$48*Hypotheses!$B$50*4.33*Hypotheses!$B$51*Hypotheses!$B$52*(1-Hypotheses!$B$53)),0)</f>
        <v>3375.9824</v>
      </c>
      <c r="V7" s="20" t="n">
        <f aca="false">IF(21&gt;=Hypotheses!$B$42,U7+(Hypotheses!$B$43+Hypotheses!$B$48*Hypotheses!$B$50*4.33*Hypotheses!$B$51*Hypotheses!$B$52*(1-Hypotheses!$B$53)),0)</f>
        <v>3574.5696</v>
      </c>
      <c r="W7" s="20" t="n">
        <f aca="false">IF(22&gt;=Hypotheses!$B$42,V7+(Hypotheses!$B$43+Hypotheses!$B$48*Hypotheses!$B$50*4.33*Hypotheses!$B$51*Hypotheses!$B$52*(1-Hypotheses!$B$53)),0)</f>
        <v>3773.1568</v>
      </c>
      <c r="X7" s="20" t="n">
        <f aca="false">IF(23&gt;=Hypotheses!$B$42,W7+(Hypotheses!$B$43+Hypotheses!$B$48*Hypotheses!$B$50*4.33*Hypotheses!$B$51*Hypotheses!$B$52*(1-Hypotheses!$B$53)),0)</f>
        <v>3971.744</v>
      </c>
      <c r="Y7" s="20" t="n">
        <f aca="false">IF(24&gt;=Hypotheses!$B$42,X7+(Hypotheses!$B$43+Hypotheses!$B$48*Hypotheses!$B$50*4.33*Hypotheses!$B$51*Hypotheses!$B$52*(1-Hypotheses!$B$53)),0)</f>
        <v>4170.3312</v>
      </c>
      <c r="Z7" s="2" t="s">
        <v>121</v>
      </c>
    </row>
    <row r="8" customFormat="false" ht="15" hidden="false" customHeight="false" outlineLevel="0" collapsed="false">
      <c r="A8" s="5" t="s">
        <v>123</v>
      </c>
      <c r="B8" s="20" t="n">
        <f aca="false">IF(1&gt;=Hypotheses!$B$44,(Hypotheses!$B$45+Hypotheses!$B$49*Hypotheses!$B$50*4.33*Hypotheses!$B$51*Hypotheses!$B$52*(1-Hypotheses!$B$53))*(1-Hypotheses!$B$44+1),0)</f>
        <v>0</v>
      </c>
      <c r="C8" s="20" t="n">
        <f aca="false">IF(2&gt;=Hypotheses!$B$44,B8+(Hypotheses!$B$45+Hypotheses!$B$49*Hypotheses!$B$50*4.33*Hypotheses!$B$51*Hypotheses!$B$52*(1-Hypotheses!$B$53)),0)</f>
        <v>0</v>
      </c>
      <c r="D8" s="20" t="n">
        <f aca="false">IF(3&gt;=Hypotheses!$B$44,C8+(Hypotheses!$B$45+Hypotheses!$B$49*Hypotheses!$B$50*4.33*Hypotheses!$B$51*Hypotheses!$B$52*(1-Hypotheses!$B$53)),0)</f>
        <v>0</v>
      </c>
      <c r="E8" s="20" t="n">
        <f aca="false">IF(4&gt;=Hypotheses!$B$44,D8+(Hypotheses!$B$45+Hypotheses!$B$49*Hypotheses!$B$50*4.33*Hypotheses!$B$51*Hypotheses!$B$52*(1-Hypotheses!$B$53)),0)</f>
        <v>0</v>
      </c>
      <c r="F8" s="20" t="n">
        <f aca="false">IF(5&gt;=Hypotheses!$B$44,E8+(Hypotheses!$B$45+Hypotheses!$B$49*Hypotheses!$B$50*4.33*Hypotheses!$B$51*Hypotheses!$B$52*(1-Hypotheses!$B$53)),0)</f>
        <v>188.5872</v>
      </c>
      <c r="G8" s="20" t="n">
        <f aca="false">IF(6&gt;=Hypotheses!$B$44,F8+(Hypotheses!$B$45+Hypotheses!$B$49*Hypotheses!$B$50*4.33*Hypotheses!$B$51*Hypotheses!$B$52*(1-Hypotheses!$B$53)),0)</f>
        <v>377.1744</v>
      </c>
      <c r="H8" s="20" t="n">
        <f aca="false">IF(7&gt;=Hypotheses!$B$44,G8+(Hypotheses!$B$45+Hypotheses!$B$49*Hypotheses!$B$50*4.33*Hypotheses!$B$51*Hypotheses!$B$52*(1-Hypotheses!$B$53)),0)</f>
        <v>565.7616</v>
      </c>
      <c r="I8" s="20" t="n">
        <f aca="false">IF(8&gt;=Hypotheses!$B$44,H8+(Hypotheses!$B$45+Hypotheses!$B$49*Hypotheses!$B$50*4.33*Hypotheses!$B$51*Hypotheses!$B$52*(1-Hypotheses!$B$53)),0)</f>
        <v>754.3488</v>
      </c>
      <c r="J8" s="20" t="n">
        <f aca="false">IF(9&gt;=Hypotheses!$B$44,I8+(Hypotheses!$B$45+Hypotheses!$B$49*Hypotheses!$B$50*4.33*Hypotheses!$B$51*Hypotheses!$B$52*(1-Hypotheses!$B$53)),0)</f>
        <v>942.936</v>
      </c>
      <c r="K8" s="20" t="n">
        <f aca="false">IF(10&gt;=Hypotheses!$B$44,J8+(Hypotheses!$B$45+Hypotheses!$B$49*Hypotheses!$B$50*4.33*Hypotheses!$B$51*Hypotheses!$B$52*(1-Hypotheses!$B$53)),0)</f>
        <v>1131.5232</v>
      </c>
      <c r="L8" s="20" t="n">
        <f aca="false">IF(11&gt;=Hypotheses!$B$44,K8+(Hypotheses!$B$45+Hypotheses!$B$49*Hypotheses!$B$50*4.33*Hypotheses!$B$51*Hypotheses!$B$52*(1-Hypotheses!$B$53)),0)</f>
        <v>1320.1104</v>
      </c>
      <c r="M8" s="20" t="n">
        <f aca="false">IF(12&gt;=Hypotheses!$B$44,L8+(Hypotheses!$B$45+Hypotheses!$B$49*Hypotheses!$B$50*4.33*Hypotheses!$B$51*Hypotheses!$B$52*(1-Hypotheses!$B$53)),0)</f>
        <v>1508.6976</v>
      </c>
      <c r="N8" s="20" t="n">
        <f aca="false">IF(13&gt;=Hypotheses!$B$44,M8+(Hypotheses!$B$45+Hypotheses!$B$49*Hypotheses!$B$50*4.33*Hypotheses!$B$51*Hypotheses!$B$52*(1-Hypotheses!$B$53)),0)</f>
        <v>1697.2848</v>
      </c>
      <c r="O8" s="20" t="n">
        <f aca="false">IF(14&gt;=Hypotheses!$B$44,N8+(Hypotheses!$B$45+Hypotheses!$B$49*Hypotheses!$B$50*4.33*Hypotheses!$B$51*Hypotheses!$B$52*(1-Hypotheses!$B$53)),0)</f>
        <v>1885.872</v>
      </c>
      <c r="P8" s="20" t="n">
        <f aca="false">IF(15&gt;=Hypotheses!$B$44,O8+(Hypotheses!$B$45+Hypotheses!$B$49*Hypotheses!$B$50*4.33*Hypotheses!$B$51*Hypotheses!$B$52*(1-Hypotheses!$B$53)),0)</f>
        <v>2074.4592</v>
      </c>
      <c r="Q8" s="20" t="n">
        <f aca="false">IF(16&gt;=Hypotheses!$B$44,P8+(Hypotheses!$B$45+Hypotheses!$B$49*Hypotheses!$B$50*4.33*Hypotheses!$B$51*Hypotheses!$B$52*(1-Hypotheses!$B$53)),0)</f>
        <v>2263.0464</v>
      </c>
      <c r="R8" s="20" t="n">
        <f aca="false">IF(17&gt;=Hypotheses!$B$44,Q8+(Hypotheses!$B$45+Hypotheses!$B$49*Hypotheses!$B$50*4.33*Hypotheses!$B$51*Hypotheses!$B$52*(1-Hypotheses!$B$53)),0)</f>
        <v>2451.6336</v>
      </c>
      <c r="S8" s="20" t="n">
        <f aca="false">IF(18&gt;=Hypotheses!$B$44,R8+(Hypotheses!$B$45+Hypotheses!$B$49*Hypotheses!$B$50*4.33*Hypotheses!$B$51*Hypotheses!$B$52*(1-Hypotheses!$B$53)),0)</f>
        <v>2640.2208</v>
      </c>
      <c r="T8" s="20" t="n">
        <f aca="false">IF(19&gt;=Hypotheses!$B$44,S8+(Hypotheses!$B$45+Hypotheses!$B$49*Hypotheses!$B$50*4.33*Hypotheses!$B$51*Hypotheses!$B$52*(1-Hypotheses!$B$53)),0)</f>
        <v>2828.808</v>
      </c>
      <c r="U8" s="20" t="n">
        <f aca="false">IF(20&gt;=Hypotheses!$B$44,T8+(Hypotheses!$B$45+Hypotheses!$B$49*Hypotheses!$B$50*4.33*Hypotheses!$B$51*Hypotheses!$B$52*(1-Hypotheses!$B$53)),0)</f>
        <v>3017.3952</v>
      </c>
      <c r="V8" s="20" t="n">
        <f aca="false">IF(21&gt;=Hypotheses!$B$44,U8+(Hypotheses!$B$45+Hypotheses!$B$49*Hypotheses!$B$50*4.33*Hypotheses!$B$51*Hypotheses!$B$52*(1-Hypotheses!$B$53)),0)</f>
        <v>3205.9824</v>
      </c>
      <c r="W8" s="20" t="n">
        <f aca="false">IF(22&gt;=Hypotheses!$B$44,V8+(Hypotheses!$B$45+Hypotheses!$B$49*Hypotheses!$B$50*4.33*Hypotheses!$B$51*Hypotheses!$B$52*(1-Hypotheses!$B$53)),0)</f>
        <v>3394.5696</v>
      </c>
      <c r="X8" s="20" t="n">
        <f aca="false">IF(23&gt;=Hypotheses!$B$44,W8+(Hypotheses!$B$45+Hypotheses!$B$49*Hypotheses!$B$50*4.33*Hypotheses!$B$51*Hypotheses!$B$52*(1-Hypotheses!$B$53)),0)</f>
        <v>3583.1568</v>
      </c>
      <c r="Y8" s="20" t="n">
        <f aca="false">IF(24&gt;=Hypotheses!$B$44,X8+(Hypotheses!$B$45+Hypotheses!$B$49*Hypotheses!$B$50*4.33*Hypotheses!$B$51*Hypotheses!$B$52*(1-Hypotheses!$B$53)),0)</f>
        <v>3771.744</v>
      </c>
      <c r="Z8" s="2" t="s">
        <v>121</v>
      </c>
    </row>
    <row r="9" customFormat="false" ht="15" hidden="false" customHeight="false" outlineLevel="0" collapsed="false">
      <c r="A9" s="21" t="s">
        <v>124</v>
      </c>
      <c r="B9" s="22" t="n">
        <f aca="false">B6+B7+B8</f>
        <v>80</v>
      </c>
      <c r="C9" s="22" t="n">
        <f aca="false">C6+C7+C8</f>
        <v>230</v>
      </c>
      <c r="D9" s="22" t="n">
        <f aca="false">D6+D7+D8</f>
        <v>380</v>
      </c>
      <c r="E9" s="22" t="n">
        <f aca="false">E6+E7+E8</f>
        <v>728.5872</v>
      </c>
      <c r="F9" s="22" t="n">
        <f aca="false">F6+F7+F8</f>
        <v>1265.7616</v>
      </c>
      <c r="G9" s="22" t="n">
        <f aca="false">G6+G7+G8</f>
        <v>1802.936</v>
      </c>
      <c r="H9" s="22" t="n">
        <f aca="false">H6+H7+H8</f>
        <v>2340.1104</v>
      </c>
      <c r="I9" s="22" t="n">
        <f aca="false">I6+I7+I8</f>
        <v>2877.2848</v>
      </c>
      <c r="J9" s="22" t="n">
        <f aca="false">J6+J7+J8</f>
        <v>3414.4592</v>
      </c>
      <c r="K9" s="22" t="n">
        <f aca="false">K6+K7+K8</f>
        <v>3951.6336</v>
      </c>
      <c r="L9" s="22" t="n">
        <f aca="false">L6+L7+L8</f>
        <v>4488.808</v>
      </c>
      <c r="M9" s="22" t="n">
        <f aca="false">M6+M7+M8</f>
        <v>5025.9824</v>
      </c>
      <c r="N9" s="22" t="n">
        <f aca="false">N6+N7+N8</f>
        <v>5563.1568</v>
      </c>
      <c r="O9" s="22" t="n">
        <f aca="false">O6+O7+O8</f>
        <v>6100.3312</v>
      </c>
      <c r="P9" s="22" t="n">
        <f aca="false">P6+P7+P8</f>
        <v>6637.5056</v>
      </c>
      <c r="Q9" s="22" t="n">
        <f aca="false">Q6+Q7+Q8</f>
        <v>7174.68</v>
      </c>
      <c r="R9" s="22" t="n">
        <f aca="false">R6+R7+R8</f>
        <v>7711.8544</v>
      </c>
      <c r="S9" s="22" t="n">
        <f aca="false">S6+S7+S8</f>
        <v>8249.0288</v>
      </c>
      <c r="T9" s="22" t="n">
        <f aca="false">T6+T7+T8</f>
        <v>8786.2032</v>
      </c>
      <c r="U9" s="22" t="n">
        <f aca="false">U6+U7+U8</f>
        <v>9323.3776</v>
      </c>
      <c r="V9" s="22" t="n">
        <f aca="false">V6+V7+V8</f>
        <v>9860.552</v>
      </c>
      <c r="W9" s="22" t="n">
        <f aca="false">W6+W7+W8</f>
        <v>10397.7264</v>
      </c>
      <c r="X9" s="22" t="n">
        <f aca="false">X6+X7+X8</f>
        <v>10934.9008</v>
      </c>
      <c r="Y9" s="22" t="n">
        <f aca="false">Y6+Y7+Y8</f>
        <v>11472.0752</v>
      </c>
      <c r="Z9" s="23" t="s">
        <v>121</v>
      </c>
    </row>
    <row r="10" customFormat="false" ht="15" hidden="false" customHeight="false" outlineLevel="0" collapsed="false">
      <c r="A10" s="3" t="s">
        <v>125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" hidden="false" customHeight="false" outlineLevel="0" collapsed="false">
      <c r="A11" s="5" t="s">
        <v>126</v>
      </c>
      <c r="B11" s="24" t="n">
        <f aca="false">B6*Hypotheses!$B$7*Hypotheses!$B$6*Hypotheses!$B$5</f>
        <v>25.92</v>
      </c>
      <c r="C11" s="24" t="n">
        <f aca="false">C6*Hypotheses!$B$7*Hypotheses!$B$6*Hypotheses!$B$5</f>
        <v>74.52</v>
      </c>
      <c r="D11" s="24" t="n">
        <f aca="false">D6*Hypotheses!$B$7*Hypotheses!$B$6*Hypotheses!$B$5</f>
        <v>123.12</v>
      </c>
      <c r="E11" s="24" t="n">
        <f aca="false">E6*Hypotheses!$B$7*Hypotheses!$B$6*Hypotheses!$B$5</f>
        <v>171.72</v>
      </c>
      <c r="F11" s="24" t="n">
        <f aca="false">F6*Hypotheses!$B$7*Hypotheses!$B$6*Hypotheses!$B$5</f>
        <v>220.32</v>
      </c>
      <c r="G11" s="24" t="n">
        <f aca="false">G6*Hypotheses!$B$7*Hypotheses!$B$6*Hypotheses!$B$5</f>
        <v>268.92</v>
      </c>
      <c r="H11" s="24" t="n">
        <f aca="false">H6*Hypotheses!$B$7*Hypotheses!$B$6*Hypotheses!$B$5</f>
        <v>317.52</v>
      </c>
      <c r="I11" s="24" t="n">
        <f aca="false">I6*Hypotheses!$B$7*Hypotheses!$B$6*Hypotheses!$B$5</f>
        <v>366.12</v>
      </c>
      <c r="J11" s="24" t="n">
        <f aca="false">J6*Hypotheses!$B$7*Hypotheses!$B$6*Hypotheses!$B$5</f>
        <v>414.72</v>
      </c>
      <c r="K11" s="24" t="n">
        <f aca="false">K6*Hypotheses!$B$7*Hypotheses!$B$6*Hypotheses!$B$5</f>
        <v>463.32</v>
      </c>
      <c r="L11" s="24" t="n">
        <f aca="false">L6*Hypotheses!$B$7*Hypotheses!$B$6*Hypotheses!$B$5</f>
        <v>511.92</v>
      </c>
      <c r="M11" s="24" t="n">
        <f aca="false">M6*Hypotheses!$B$7*Hypotheses!$B$6*Hypotheses!$B$5</f>
        <v>560.52</v>
      </c>
      <c r="N11" s="24" t="n">
        <f aca="false">N6*Hypotheses!$B$7*Hypotheses!$B$6*Hypotheses!$B$5</f>
        <v>609.12</v>
      </c>
      <c r="O11" s="24" t="n">
        <f aca="false">O6*Hypotheses!$B$7*Hypotheses!$B$6*Hypotheses!$B$5</f>
        <v>657.72</v>
      </c>
      <c r="P11" s="24" t="n">
        <f aca="false">P6*Hypotheses!$B$7*Hypotheses!$B$6*Hypotheses!$B$5</f>
        <v>706.32</v>
      </c>
      <c r="Q11" s="24" t="n">
        <f aca="false">Q6*Hypotheses!$B$7*Hypotheses!$B$6*Hypotheses!$B$5</f>
        <v>754.92</v>
      </c>
      <c r="R11" s="24" t="n">
        <f aca="false">R6*Hypotheses!$B$7*Hypotheses!$B$6*Hypotheses!$B$5</f>
        <v>803.52</v>
      </c>
      <c r="S11" s="24" t="n">
        <f aca="false">S6*Hypotheses!$B$7*Hypotheses!$B$6*Hypotheses!$B$5</f>
        <v>852.12</v>
      </c>
      <c r="T11" s="24" t="n">
        <f aca="false">T6*Hypotheses!$B$7*Hypotheses!$B$6*Hypotheses!$B$5</f>
        <v>900.72</v>
      </c>
      <c r="U11" s="24" t="n">
        <f aca="false">U6*Hypotheses!$B$7*Hypotheses!$B$6*Hypotheses!$B$5</f>
        <v>949.32</v>
      </c>
      <c r="V11" s="24" t="n">
        <f aca="false">V6*Hypotheses!$B$7*Hypotheses!$B$6*Hypotheses!$B$5</f>
        <v>997.92</v>
      </c>
      <c r="W11" s="24" t="n">
        <f aca="false">W6*Hypotheses!$B$7*Hypotheses!$B$6*Hypotheses!$B$5</f>
        <v>1046.52</v>
      </c>
      <c r="X11" s="24" t="n">
        <f aca="false">X6*Hypotheses!$B$7*Hypotheses!$B$6*Hypotheses!$B$5</f>
        <v>1095.12</v>
      </c>
      <c r="Y11" s="24" t="n">
        <f aca="false">Y6*Hypotheses!$B$7*Hypotheses!$B$6*Hypotheses!$B$5</f>
        <v>1143.72</v>
      </c>
      <c r="Z11" s="25" t="n">
        <f aca="false">SUM(B11:Y11)</f>
        <v>14035.68</v>
      </c>
    </row>
    <row r="12" customFormat="false" ht="15" hidden="false" customHeight="false" outlineLevel="0" collapsed="false">
      <c r="A12" s="5" t="s">
        <v>127</v>
      </c>
      <c r="B12" s="24" t="n">
        <f aca="false">B7*Hypotheses!$B$7*Hypotheses!$B$6*Hypotheses!$B$5</f>
        <v>0</v>
      </c>
      <c r="C12" s="24" t="n">
        <f aca="false">C7*Hypotheses!$B$7*Hypotheses!$B$6*Hypotheses!$B$5</f>
        <v>0</v>
      </c>
      <c r="D12" s="24" t="n">
        <f aca="false">D7*Hypotheses!$B$7*Hypotheses!$B$6*Hypotheses!$B$5</f>
        <v>0</v>
      </c>
      <c r="E12" s="24" t="n">
        <f aca="false">E7*Hypotheses!$B$7*Hypotheses!$B$6*Hypotheses!$B$5</f>
        <v>64.3422528</v>
      </c>
      <c r="F12" s="24" t="n">
        <f aca="false">F7*Hypotheses!$B$7*Hypotheses!$B$6*Hypotheses!$B$5</f>
        <v>128.6845056</v>
      </c>
      <c r="G12" s="24" t="n">
        <f aca="false">G7*Hypotheses!$B$7*Hypotheses!$B$6*Hypotheses!$B$5</f>
        <v>193.0267584</v>
      </c>
      <c r="H12" s="24" t="n">
        <f aca="false">H7*Hypotheses!$B$7*Hypotheses!$B$6*Hypotheses!$B$5</f>
        <v>257.3690112</v>
      </c>
      <c r="I12" s="24" t="n">
        <f aca="false">I7*Hypotheses!$B$7*Hypotheses!$B$6*Hypotheses!$B$5</f>
        <v>321.711264</v>
      </c>
      <c r="J12" s="24" t="n">
        <f aca="false">J7*Hypotheses!$B$7*Hypotheses!$B$6*Hypotheses!$B$5</f>
        <v>386.0535168</v>
      </c>
      <c r="K12" s="24" t="n">
        <f aca="false">K7*Hypotheses!$B$7*Hypotheses!$B$6*Hypotheses!$B$5</f>
        <v>450.3957696</v>
      </c>
      <c r="L12" s="24" t="n">
        <f aca="false">L7*Hypotheses!$B$7*Hypotheses!$B$6*Hypotheses!$B$5</f>
        <v>514.7380224</v>
      </c>
      <c r="M12" s="24" t="n">
        <f aca="false">M7*Hypotheses!$B$7*Hypotheses!$B$6*Hypotheses!$B$5</f>
        <v>579.0802752</v>
      </c>
      <c r="N12" s="24" t="n">
        <f aca="false">N7*Hypotheses!$B$7*Hypotheses!$B$6*Hypotheses!$B$5</f>
        <v>643.422528</v>
      </c>
      <c r="O12" s="24" t="n">
        <f aca="false">O7*Hypotheses!$B$7*Hypotheses!$B$6*Hypotheses!$B$5</f>
        <v>707.7647808</v>
      </c>
      <c r="P12" s="24" t="n">
        <f aca="false">P7*Hypotheses!$B$7*Hypotheses!$B$6*Hypotheses!$B$5</f>
        <v>772.1070336</v>
      </c>
      <c r="Q12" s="24" t="n">
        <f aca="false">Q7*Hypotheses!$B$7*Hypotheses!$B$6*Hypotheses!$B$5</f>
        <v>836.4492864</v>
      </c>
      <c r="R12" s="24" t="n">
        <f aca="false">R7*Hypotheses!$B$7*Hypotheses!$B$6*Hypotheses!$B$5</f>
        <v>900.7915392</v>
      </c>
      <c r="S12" s="24" t="n">
        <f aca="false">S7*Hypotheses!$B$7*Hypotheses!$B$6*Hypotheses!$B$5</f>
        <v>965.133792</v>
      </c>
      <c r="T12" s="24" t="n">
        <f aca="false">T7*Hypotheses!$B$7*Hypotheses!$B$6*Hypotheses!$B$5</f>
        <v>1029.4760448</v>
      </c>
      <c r="U12" s="24" t="n">
        <f aca="false">U7*Hypotheses!$B$7*Hypotheses!$B$6*Hypotheses!$B$5</f>
        <v>1093.8182976</v>
      </c>
      <c r="V12" s="24" t="n">
        <f aca="false">V7*Hypotheses!$B$7*Hypotheses!$B$6*Hypotheses!$B$5</f>
        <v>1158.1605504</v>
      </c>
      <c r="W12" s="24" t="n">
        <f aca="false">W7*Hypotheses!$B$7*Hypotheses!$B$6*Hypotheses!$B$5</f>
        <v>1222.5028032</v>
      </c>
      <c r="X12" s="24" t="n">
        <f aca="false">X7*Hypotheses!$B$7*Hypotheses!$B$6*Hypotheses!$B$5</f>
        <v>1286.845056</v>
      </c>
      <c r="Y12" s="24" t="n">
        <f aca="false">Y7*Hypotheses!$B$7*Hypotheses!$B$6*Hypotheses!$B$5</f>
        <v>1351.1873088</v>
      </c>
      <c r="Z12" s="25" t="n">
        <f aca="false">SUM(B12:Y12)</f>
        <v>14863.0603968</v>
      </c>
    </row>
    <row r="13" customFormat="false" ht="15" hidden="false" customHeight="false" outlineLevel="0" collapsed="false">
      <c r="A13" s="5" t="s">
        <v>128</v>
      </c>
      <c r="B13" s="24" t="n">
        <f aca="false">B8*Hypotheses!$B$7*Hypotheses!$B$6*Hypotheses!$B$5</f>
        <v>0</v>
      </c>
      <c r="C13" s="24" t="n">
        <f aca="false">C8*Hypotheses!$B$7*Hypotheses!$B$6*Hypotheses!$B$5</f>
        <v>0</v>
      </c>
      <c r="D13" s="24" t="n">
        <f aca="false">D8*Hypotheses!$B$7*Hypotheses!$B$6*Hypotheses!$B$5</f>
        <v>0</v>
      </c>
      <c r="E13" s="24" t="n">
        <f aca="false">E8*Hypotheses!$B$7*Hypotheses!$B$6*Hypotheses!$B$5</f>
        <v>0</v>
      </c>
      <c r="F13" s="24" t="n">
        <f aca="false">F8*Hypotheses!$B$7*Hypotheses!$B$6*Hypotheses!$B$5</f>
        <v>61.1022528</v>
      </c>
      <c r="G13" s="24" t="n">
        <f aca="false">G8*Hypotheses!$B$7*Hypotheses!$B$6*Hypotheses!$B$5</f>
        <v>122.2045056</v>
      </c>
      <c r="H13" s="24" t="n">
        <f aca="false">H8*Hypotheses!$B$7*Hypotheses!$B$6*Hypotheses!$B$5</f>
        <v>183.3067584</v>
      </c>
      <c r="I13" s="24" t="n">
        <f aca="false">I8*Hypotheses!$B$7*Hypotheses!$B$6*Hypotheses!$B$5</f>
        <v>244.4090112</v>
      </c>
      <c r="J13" s="24" t="n">
        <f aca="false">J8*Hypotheses!$B$7*Hypotheses!$B$6*Hypotheses!$B$5</f>
        <v>305.511264</v>
      </c>
      <c r="K13" s="24" t="n">
        <f aca="false">K8*Hypotheses!$B$7*Hypotheses!$B$6*Hypotheses!$B$5</f>
        <v>366.6135168</v>
      </c>
      <c r="L13" s="24" t="n">
        <f aca="false">L8*Hypotheses!$B$7*Hypotheses!$B$6*Hypotheses!$B$5</f>
        <v>427.7157696</v>
      </c>
      <c r="M13" s="24" t="n">
        <f aca="false">M8*Hypotheses!$B$7*Hypotheses!$B$6*Hypotheses!$B$5</f>
        <v>488.8180224</v>
      </c>
      <c r="N13" s="24" t="n">
        <f aca="false">N8*Hypotheses!$B$7*Hypotheses!$B$6*Hypotheses!$B$5</f>
        <v>549.9202752</v>
      </c>
      <c r="O13" s="24" t="n">
        <f aca="false">O8*Hypotheses!$B$7*Hypotheses!$B$6*Hypotheses!$B$5</f>
        <v>611.022528</v>
      </c>
      <c r="P13" s="24" t="n">
        <f aca="false">P8*Hypotheses!$B$7*Hypotheses!$B$6*Hypotheses!$B$5</f>
        <v>672.1247808</v>
      </c>
      <c r="Q13" s="24" t="n">
        <f aca="false">Q8*Hypotheses!$B$7*Hypotheses!$B$6*Hypotheses!$B$5</f>
        <v>733.2270336</v>
      </c>
      <c r="R13" s="24" t="n">
        <f aca="false">R8*Hypotheses!$B$7*Hypotheses!$B$6*Hypotheses!$B$5</f>
        <v>794.3292864</v>
      </c>
      <c r="S13" s="24" t="n">
        <f aca="false">S8*Hypotheses!$B$7*Hypotheses!$B$6*Hypotheses!$B$5</f>
        <v>855.4315392</v>
      </c>
      <c r="T13" s="24" t="n">
        <f aca="false">T8*Hypotheses!$B$7*Hypotheses!$B$6*Hypotheses!$B$5</f>
        <v>916.533792</v>
      </c>
      <c r="U13" s="24" t="n">
        <f aca="false">U8*Hypotheses!$B$7*Hypotheses!$B$6*Hypotheses!$B$5</f>
        <v>977.6360448</v>
      </c>
      <c r="V13" s="24" t="n">
        <f aca="false">V8*Hypotheses!$B$7*Hypotheses!$B$6*Hypotheses!$B$5</f>
        <v>1038.7382976</v>
      </c>
      <c r="W13" s="24" t="n">
        <f aca="false">W8*Hypotheses!$B$7*Hypotheses!$B$6*Hypotheses!$B$5</f>
        <v>1099.8405504</v>
      </c>
      <c r="X13" s="24" t="n">
        <f aca="false">X8*Hypotheses!$B$7*Hypotheses!$B$6*Hypotheses!$B$5</f>
        <v>1160.9428032</v>
      </c>
      <c r="Y13" s="24" t="n">
        <f aca="false">Y8*Hypotheses!$B$7*Hypotheses!$B$6*Hypotheses!$B$5</f>
        <v>1222.045056</v>
      </c>
      <c r="Z13" s="25" t="n">
        <f aca="false">SUM(B13:Y13)</f>
        <v>12831.473088</v>
      </c>
    </row>
    <row r="14" customFormat="false" ht="15" hidden="false" customHeight="false" outlineLevel="0" collapsed="false">
      <c r="A14" s="21" t="s">
        <v>129</v>
      </c>
      <c r="B14" s="26" t="n">
        <f aca="false">B11+B12+B13</f>
        <v>25.92</v>
      </c>
      <c r="C14" s="26" t="n">
        <f aca="false">C11+C12+C13</f>
        <v>74.52</v>
      </c>
      <c r="D14" s="26" t="n">
        <f aca="false">D11+D12+D13</f>
        <v>123.12</v>
      </c>
      <c r="E14" s="26" t="n">
        <f aca="false">E11+E12+E13</f>
        <v>236.0622528</v>
      </c>
      <c r="F14" s="26" t="n">
        <f aca="false">F11+F12+F13</f>
        <v>410.1067584</v>
      </c>
      <c r="G14" s="26" t="n">
        <f aca="false">G11+G12+G13</f>
        <v>584.151264</v>
      </c>
      <c r="H14" s="26" t="n">
        <f aca="false">H11+H12+H13</f>
        <v>758.1957696</v>
      </c>
      <c r="I14" s="26" t="n">
        <f aca="false">I11+I12+I13</f>
        <v>932.2402752</v>
      </c>
      <c r="J14" s="26" t="n">
        <f aca="false">J11+J12+J13</f>
        <v>1106.2847808</v>
      </c>
      <c r="K14" s="26" t="n">
        <f aca="false">K11+K12+K13</f>
        <v>1280.3292864</v>
      </c>
      <c r="L14" s="26" t="n">
        <f aca="false">L11+L12+L13</f>
        <v>1454.373792</v>
      </c>
      <c r="M14" s="26" t="n">
        <f aca="false">M11+M12+M13</f>
        <v>1628.4182976</v>
      </c>
      <c r="N14" s="26" t="n">
        <f aca="false">N11+N12+N13</f>
        <v>1802.4628032</v>
      </c>
      <c r="O14" s="26" t="n">
        <f aca="false">O11+O12+O13</f>
        <v>1976.5073088</v>
      </c>
      <c r="P14" s="26" t="n">
        <f aca="false">P11+P12+P13</f>
        <v>2150.5518144</v>
      </c>
      <c r="Q14" s="26" t="n">
        <f aca="false">Q11+Q12+Q13</f>
        <v>2324.59632</v>
      </c>
      <c r="R14" s="26" t="n">
        <f aca="false">R11+R12+R13</f>
        <v>2498.6408256</v>
      </c>
      <c r="S14" s="26" t="n">
        <f aca="false">S11+S12+S13</f>
        <v>2672.6853312</v>
      </c>
      <c r="T14" s="26" t="n">
        <f aca="false">T11+T12+T13</f>
        <v>2846.7298368</v>
      </c>
      <c r="U14" s="26" t="n">
        <f aca="false">U11+U12+U13</f>
        <v>3020.7743424</v>
      </c>
      <c r="V14" s="26" t="n">
        <f aca="false">V11+V12+V13</f>
        <v>3194.818848</v>
      </c>
      <c r="W14" s="26" t="n">
        <f aca="false">W11+W12+W13</f>
        <v>3368.8633536</v>
      </c>
      <c r="X14" s="26" t="n">
        <f aca="false">X11+X12+X13</f>
        <v>3542.9078592</v>
      </c>
      <c r="Y14" s="26" t="n">
        <f aca="false">Y11+Y12+Y13</f>
        <v>3716.9523648</v>
      </c>
      <c r="Z14" s="26" t="n">
        <f aca="false">SUM(B14:Y14)</f>
        <v>41730.2134848</v>
      </c>
    </row>
    <row r="15" customFormat="false" ht="15" hidden="false" customHeight="false" outlineLevel="0" collapsed="false">
      <c r="A15" s="21" t="s">
        <v>130</v>
      </c>
      <c r="B15" s="27" t="n">
        <f aca="false">B14*Hypotheses!$B$9</f>
        <v>23.8464</v>
      </c>
      <c r="C15" s="27" t="n">
        <f aca="false">C14*Hypotheses!$B$9</f>
        <v>68.5584</v>
      </c>
      <c r="D15" s="27" t="n">
        <f aca="false">D14*Hypotheses!$B$9</f>
        <v>113.2704</v>
      </c>
      <c r="E15" s="27" t="n">
        <f aca="false">E14*Hypotheses!$B$9</f>
        <v>217.177272576</v>
      </c>
      <c r="F15" s="27" t="n">
        <f aca="false">F14*Hypotheses!$B$9</f>
        <v>377.298217728</v>
      </c>
      <c r="G15" s="27" t="n">
        <f aca="false">G14*Hypotheses!$B$9</f>
        <v>537.41916288</v>
      </c>
      <c r="H15" s="27" t="n">
        <f aca="false">H14*Hypotheses!$B$9</f>
        <v>697.540108032</v>
      </c>
      <c r="I15" s="27" t="n">
        <f aca="false">I14*Hypotheses!$B$9</f>
        <v>857.661053184</v>
      </c>
      <c r="J15" s="27" t="n">
        <f aca="false">J14*Hypotheses!$B$9</f>
        <v>1017.781998336</v>
      </c>
      <c r="K15" s="27" t="n">
        <f aca="false">K14*Hypotheses!$B$9</f>
        <v>1177.902943488</v>
      </c>
      <c r="L15" s="27" t="n">
        <f aca="false">L14*Hypotheses!$B$9</f>
        <v>1338.02388864</v>
      </c>
      <c r="M15" s="27" t="n">
        <f aca="false">M14*Hypotheses!$B$9</f>
        <v>1498.144833792</v>
      </c>
      <c r="N15" s="27" t="n">
        <f aca="false">N14*Hypotheses!$B$9</f>
        <v>1658.265778944</v>
      </c>
      <c r="O15" s="27" t="n">
        <f aca="false">O14*Hypotheses!$B$9</f>
        <v>1818.386724096</v>
      </c>
      <c r="P15" s="27" t="n">
        <f aca="false">P14*Hypotheses!$B$9</f>
        <v>1978.507669248</v>
      </c>
      <c r="Q15" s="27" t="n">
        <f aca="false">Q14*Hypotheses!$B$9</f>
        <v>2138.6286144</v>
      </c>
      <c r="R15" s="27" t="n">
        <f aca="false">R14*Hypotheses!$B$9</f>
        <v>2298.749559552</v>
      </c>
      <c r="S15" s="27" t="n">
        <f aca="false">S14*Hypotheses!$B$9</f>
        <v>2458.870504704</v>
      </c>
      <c r="T15" s="27" t="n">
        <f aca="false">T14*Hypotheses!$B$9</f>
        <v>2618.991449856</v>
      </c>
      <c r="U15" s="27" t="n">
        <f aca="false">U14*Hypotheses!$B$9</f>
        <v>2779.112395008</v>
      </c>
      <c r="V15" s="27" t="n">
        <f aca="false">V14*Hypotheses!$B$9</f>
        <v>2939.23334016</v>
      </c>
      <c r="W15" s="27" t="n">
        <f aca="false">W14*Hypotheses!$B$9</f>
        <v>3099.354285312</v>
      </c>
      <c r="X15" s="27" t="n">
        <f aca="false">X14*Hypotheses!$B$9</f>
        <v>3259.475230464</v>
      </c>
      <c r="Y15" s="27" t="n">
        <f aca="false">Y14*Hypotheses!$B$9</f>
        <v>3419.596175616</v>
      </c>
      <c r="Z15" s="27" t="n">
        <f aca="false">SUM(B15:Y15)</f>
        <v>38391.796406016</v>
      </c>
    </row>
    <row r="16" customFormat="false" ht="15" hidden="false" customHeight="false" outlineLevel="0" collapsed="false">
      <c r="A16" s="3" t="s">
        <v>131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" hidden="false" customHeight="false" outlineLevel="0" collapsed="false">
      <c r="A17" s="5" t="s">
        <v>132</v>
      </c>
      <c r="B17" s="28" t="n">
        <f aca="false">-B15*Hypotheses!$B$8</f>
        <v>-3.57696</v>
      </c>
      <c r="C17" s="28" t="n">
        <f aca="false">-C15*Hypotheses!$B$8</f>
        <v>-10.28376</v>
      </c>
      <c r="D17" s="28" t="n">
        <f aca="false">-D15*Hypotheses!$B$8</f>
        <v>-16.99056</v>
      </c>
      <c r="E17" s="28" t="n">
        <f aca="false">-E15*Hypotheses!$B$8</f>
        <v>-32.5765908864</v>
      </c>
      <c r="F17" s="28" t="n">
        <f aca="false">-F15*Hypotheses!$B$8</f>
        <v>-56.5947326592</v>
      </c>
      <c r="G17" s="28" t="n">
        <f aca="false">-G15*Hypotheses!$B$8</f>
        <v>-80.612874432</v>
      </c>
      <c r="H17" s="28" t="n">
        <f aca="false">-H15*Hypotheses!$B$8</f>
        <v>-104.6310162048</v>
      </c>
      <c r="I17" s="28" t="n">
        <f aca="false">-I15*Hypotheses!$B$8</f>
        <v>-128.6491579776</v>
      </c>
      <c r="J17" s="28" t="n">
        <f aca="false">-J15*Hypotheses!$B$8</f>
        <v>-152.6672997504</v>
      </c>
      <c r="K17" s="28" t="n">
        <f aca="false">-K15*Hypotheses!$B$8</f>
        <v>-176.6854415232</v>
      </c>
      <c r="L17" s="28" t="n">
        <f aca="false">-L15*Hypotheses!$B$8</f>
        <v>-200.703583296</v>
      </c>
      <c r="M17" s="28" t="n">
        <f aca="false">-M15*Hypotheses!$B$8</f>
        <v>-224.7217250688</v>
      </c>
      <c r="N17" s="28" t="n">
        <f aca="false">-N15*Hypotheses!$B$8</f>
        <v>-248.7398668416</v>
      </c>
      <c r="O17" s="28" t="n">
        <f aca="false">-O15*Hypotheses!$B$8</f>
        <v>-272.7580086144</v>
      </c>
      <c r="P17" s="28" t="n">
        <f aca="false">-P15*Hypotheses!$B$8</f>
        <v>-296.7761503872</v>
      </c>
      <c r="Q17" s="28" t="n">
        <f aca="false">-Q15*Hypotheses!$B$8</f>
        <v>-320.79429216</v>
      </c>
      <c r="R17" s="28" t="n">
        <f aca="false">-R15*Hypotheses!$B$8</f>
        <v>-344.8124339328</v>
      </c>
      <c r="S17" s="28" t="n">
        <f aca="false">-S15*Hypotheses!$B$8</f>
        <v>-368.8305757056</v>
      </c>
      <c r="T17" s="28" t="n">
        <f aca="false">-T15*Hypotheses!$B$8</f>
        <v>-392.8487174784</v>
      </c>
      <c r="U17" s="28" t="n">
        <f aca="false">-U15*Hypotheses!$B$8</f>
        <v>-416.8668592512</v>
      </c>
      <c r="V17" s="28" t="n">
        <f aca="false">-V15*Hypotheses!$B$8</f>
        <v>-440.885001024</v>
      </c>
      <c r="W17" s="28" t="n">
        <f aca="false">-W15*Hypotheses!$B$8</f>
        <v>-464.9031427968</v>
      </c>
      <c r="X17" s="28" t="n">
        <f aca="false">-X15*Hypotheses!$B$8</f>
        <v>-488.9212845696</v>
      </c>
      <c r="Y17" s="28" t="n">
        <f aca="false">-Y15*Hypotheses!$B$8</f>
        <v>-512.9394263424</v>
      </c>
      <c r="Z17" s="29" t="n">
        <f aca="false">SUM(B17:Y17)</f>
        <v>-5758.7694609024</v>
      </c>
    </row>
    <row r="18" customFormat="false" ht="15" hidden="false" customHeight="false" outlineLevel="0" collapsed="false">
      <c r="A18" s="21" t="s">
        <v>133</v>
      </c>
      <c r="B18" s="27" t="n">
        <f aca="false">B15+B17</f>
        <v>20.26944</v>
      </c>
      <c r="C18" s="27" t="n">
        <f aca="false">C15+C17</f>
        <v>58.27464</v>
      </c>
      <c r="D18" s="27" t="n">
        <f aca="false">D15+D17</f>
        <v>96.27984</v>
      </c>
      <c r="E18" s="27" t="n">
        <f aca="false">E15+E17</f>
        <v>184.6006816896</v>
      </c>
      <c r="F18" s="27" t="n">
        <f aca="false">F15+F17</f>
        <v>320.7034850688</v>
      </c>
      <c r="G18" s="27" t="n">
        <f aca="false">G15+G17</f>
        <v>456.806288448</v>
      </c>
      <c r="H18" s="27" t="n">
        <f aca="false">H15+H17</f>
        <v>592.9090918272</v>
      </c>
      <c r="I18" s="27" t="n">
        <f aca="false">I15+I17</f>
        <v>729.0118952064</v>
      </c>
      <c r="J18" s="27" t="n">
        <f aca="false">J15+J17</f>
        <v>865.1146985856</v>
      </c>
      <c r="K18" s="27" t="n">
        <f aca="false">K15+K17</f>
        <v>1001.2175019648</v>
      </c>
      <c r="L18" s="27" t="n">
        <f aca="false">L15+L17</f>
        <v>1137.320305344</v>
      </c>
      <c r="M18" s="27" t="n">
        <f aca="false">M15+M17</f>
        <v>1273.4231087232</v>
      </c>
      <c r="N18" s="27" t="n">
        <f aca="false">N15+N17</f>
        <v>1409.5259121024</v>
      </c>
      <c r="O18" s="27" t="n">
        <f aca="false">O15+O17</f>
        <v>1545.6287154816</v>
      </c>
      <c r="P18" s="27" t="n">
        <f aca="false">P15+P17</f>
        <v>1681.7315188608</v>
      </c>
      <c r="Q18" s="27" t="n">
        <f aca="false">Q15+Q17</f>
        <v>1817.83432224</v>
      </c>
      <c r="R18" s="27" t="n">
        <f aca="false">R15+R17</f>
        <v>1953.9371256192</v>
      </c>
      <c r="S18" s="27" t="n">
        <f aca="false">S15+S17</f>
        <v>2090.0399289984</v>
      </c>
      <c r="T18" s="27" t="n">
        <f aca="false">T15+T17</f>
        <v>2226.1427323776</v>
      </c>
      <c r="U18" s="27" t="n">
        <f aca="false">U15+U17</f>
        <v>2362.2455357568</v>
      </c>
      <c r="V18" s="27" t="n">
        <f aca="false">V15+V17</f>
        <v>2498.348339136</v>
      </c>
      <c r="W18" s="27" t="n">
        <f aca="false">W15+W17</f>
        <v>2634.4511425152</v>
      </c>
      <c r="X18" s="27" t="n">
        <f aca="false">X15+X17</f>
        <v>2770.5539458944</v>
      </c>
      <c r="Y18" s="27" t="n">
        <f aca="false">Y15+Y17</f>
        <v>2906.6567492736</v>
      </c>
      <c r="Z18" s="27" t="n">
        <f aca="false">SUM(B18:Y18)</f>
        <v>32633.0269451136</v>
      </c>
    </row>
    <row r="19" customFormat="false" ht="15" hidden="false" customHeight="false" outlineLevel="0" collapsed="false">
      <c r="A19" s="3" t="s">
        <v>134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" hidden="false" customHeight="false" outlineLevel="0" collapsed="false">
      <c r="A20" s="5" t="s">
        <v>135</v>
      </c>
      <c r="B20" s="28" t="n">
        <f aca="false">-Hypotheses!$B$17</f>
        <v>-80</v>
      </c>
      <c r="C20" s="28" t="n">
        <f aca="false">-Hypotheses!$B$17</f>
        <v>-80</v>
      </c>
      <c r="D20" s="28" t="n">
        <f aca="false">-Hypotheses!$B$17</f>
        <v>-80</v>
      </c>
      <c r="E20" s="28" t="n">
        <f aca="false">-Hypotheses!$B$17</f>
        <v>-80</v>
      </c>
      <c r="F20" s="28" t="n">
        <f aca="false">-Hypotheses!$B$17</f>
        <v>-80</v>
      </c>
      <c r="G20" s="28" t="n">
        <f aca="false">-Hypotheses!$B$17</f>
        <v>-80</v>
      </c>
      <c r="H20" s="28" t="n">
        <f aca="false">-Hypotheses!$B$17</f>
        <v>-80</v>
      </c>
      <c r="I20" s="28" t="n">
        <f aca="false">-Hypotheses!$B$17</f>
        <v>-80</v>
      </c>
      <c r="J20" s="28" t="n">
        <f aca="false">-Hypotheses!$B$17</f>
        <v>-80</v>
      </c>
      <c r="K20" s="28" t="n">
        <f aca="false">-Hypotheses!$B$17</f>
        <v>-80</v>
      </c>
      <c r="L20" s="28" t="n">
        <f aca="false">-Hypotheses!$B$17</f>
        <v>-80</v>
      </c>
      <c r="M20" s="28" t="n">
        <f aca="false">-Hypotheses!$B$17</f>
        <v>-80</v>
      </c>
      <c r="N20" s="28" t="n">
        <f aca="false">-Hypotheses!$B$17</f>
        <v>-80</v>
      </c>
      <c r="O20" s="28" t="n">
        <f aca="false">-Hypotheses!$B$17</f>
        <v>-80</v>
      </c>
      <c r="P20" s="28" t="n">
        <f aca="false">-Hypotheses!$B$17</f>
        <v>-80</v>
      </c>
      <c r="Q20" s="28" t="n">
        <f aca="false">-Hypotheses!$B$17</f>
        <v>-80</v>
      </c>
      <c r="R20" s="28" t="n">
        <f aca="false">-Hypotheses!$B$17</f>
        <v>-80</v>
      </c>
      <c r="S20" s="28" t="n">
        <f aca="false">-Hypotheses!$B$17</f>
        <v>-80</v>
      </c>
      <c r="T20" s="28" t="n">
        <f aca="false">-Hypotheses!$B$17</f>
        <v>-80</v>
      </c>
      <c r="U20" s="28" t="n">
        <f aca="false">-Hypotheses!$B$17</f>
        <v>-80</v>
      </c>
      <c r="V20" s="28" t="n">
        <f aca="false">-Hypotheses!$B$17</f>
        <v>-80</v>
      </c>
      <c r="W20" s="28" t="n">
        <f aca="false">-Hypotheses!$B$17</f>
        <v>-80</v>
      </c>
      <c r="X20" s="28" t="n">
        <f aca="false">-Hypotheses!$B$17</f>
        <v>-80</v>
      </c>
      <c r="Y20" s="28" t="n">
        <f aca="false">-Hypotheses!$B$17</f>
        <v>-80</v>
      </c>
      <c r="Z20" s="29" t="n">
        <f aca="false">SUM(B20:Y20)</f>
        <v>-1920</v>
      </c>
    </row>
    <row r="21" customFormat="false" ht="15" hidden="false" customHeight="false" outlineLevel="0" collapsed="false">
      <c r="A21" s="5" t="s">
        <v>136</v>
      </c>
      <c r="B21" s="28" t="n">
        <f aca="false">-IF(1&gt;=Hypotheses!$B$42,Hypotheses!$B$18,0)</f>
        <v>-0</v>
      </c>
      <c r="C21" s="28" t="n">
        <f aca="false">-IF(2&gt;=Hypotheses!$B$42,Hypotheses!$B$18,0)</f>
        <v>-0</v>
      </c>
      <c r="D21" s="28" t="n">
        <f aca="false">-IF(3&gt;=Hypotheses!$B$42,Hypotheses!$B$18,0)</f>
        <v>-0</v>
      </c>
      <c r="E21" s="28" t="n">
        <f aca="false">-IF(4&gt;=Hypotheses!$B$42,Hypotheses!$B$18,0)</f>
        <v>-120</v>
      </c>
      <c r="F21" s="28" t="n">
        <f aca="false">-IF(5&gt;=Hypotheses!$B$42,Hypotheses!$B$18,0)</f>
        <v>-120</v>
      </c>
      <c r="G21" s="28" t="n">
        <f aca="false">-IF(6&gt;=Hypotheses!$B$42,Hypotheses!$B$18,0)</f>
        <v>-120</v>
      </c>
      <c r="H21" s="28" t="n">
        <f aca="false">-IF(7&gt;=Hypotheses!$B$42,Hypotheses!$B$18,0)</f>
        <v>-120</v>
      </c>
      <c r="I21" s="28" t="n">
        <f aca="false">-IF(8&gt;=Hypotheses!$B$42,Hypotheses!$B$18,0)</f>
        <v>-120</v>
      </c>
      <c r="J21" s="28" t="n">
        <f aca="false">-IF(9&gt;=Hypotheses!$B$42,Hypotheses!$B$18,0)</f>
        <v>-120</v>
      </c>
      <c r="K21" s="28" t="n">
        <f aca="false">-IF(10&gt;=Hypotheses!$B$42,Hypotheses!$B$18,0)</f>
        <v>-120</v>
      </c>
      <c r="L21" s="28" t="n">
        <f aca="false">-IF(11&gt;=Hypotheses!$B$42,Hypotheses!$B$18,0)</f>
        <v>-120</v>
      </c>
      <c r="M21" s="28" t="n">
        <f aca="false">-IF(12&gt;=Hypotheses!$B$42,Hypotheses!$B$18,0)</f>
        <v>-120</v>
      </c>
      <c r="N21" s="28" t="n">
        <f aca="false">-IF(13&gt;=Hypotheses!$B$42,Hypotheses!$B$18,0)</f>
        <v>-120</v>
      </c>
      <c r="O21" s="28" t="n">
        <f aca="false">-IF(14&gt;=Hypotheses!$B$42,Hypotheses!$B$18,0)</f>
        <v>-120</v>
      </c>
      <c r="P21" s="28" t="n">
        <f aca="false">-IF(15&gt;=Hypotheses!$B$42,Hypotheses!$B$18,0)</f>
        <v>-120</v>
      </c>
      <c r="Q21" s="28" t="n">
        <f aca="false">-IF(16&gt;=Hypotheses!$B$42,Hypotheses!$B$18,0)</f>
        <v>-120</v>
      </c>
      <c r="R21" s="28" t="n">
        <f aca="false">-IF(17&gt;=Hypotheses!$B$42,Hypotheses!$B$18,0)</f>
        <v>-120</v>
      </c>
      <c r="S21" s="28" t="n">
        <f aca="false">-IF(18&gt;=Hypotheses!$B$42,Hypotheses!$B$18,0)</f>
        <v>-120</v>
      </c>
      <c r="T21" s="28" t="n">
        <f aca="false">-IF(19&gt;=Hypotheses!$B$42,Hypotheses!$B$18,0)</f>
        <v>-120</v>
      </c>
      <c r="U21" s="28" t="n">
        <f aca="false">-IF(20&gt;=Hypotheses!$B$42,Hypotheses!$B$18,0)</f>
        <v>-120</v>
      </c>
      <c r="V21" s="28" t="n">
        <f aca="false">-IF(21&gt;=Hypotheses!$B$42,Hypotheses!$B$18,0)</f>
        <v>-120</v>
      </c>
      <c r="W21" s="28" t="n">
        <f aca="false">-IF(22&gt;=Hypotheses!$B$42,Hypotheses!$B$18,0)</f>
        <v>-120</v>
      </c>
      <c r="X21" s="28" t="n">
        <f aca="false">-IF(23&gt;=Hypotheses!$B$42,Hypotheses!$B$18,0)</f>
        <v>-120</v>
      </c>
      <c r="Y21" s="28" t="n">
        <f aca="false">-IF(24&gt;=Hypotheses!$B$42,Hypotheses!$B$18,0)</f>
        <v>-120</v>
      </c>
      <c r="Z21" s="29" t="n">
        <f aca="false">SUM(B21:Y21)</f>
        <v>-2520</v>
      </c>
    </row>
    <row r="22" customFormat="false" ht="15" hidden="false" customHeight="false" outlineLevel="0" collapsed="false">
      <c r="A22" s="5" t="s">
        <v>137</v>
      </c>
      <c r="B22" s="28" t="n">
        <f aca="false">-IF(1&gt;=Hypotheses!$B$44,Hypotheses!$B$19,0)</f>
        <v>-0</v>
      </c>
      <c r="C22" s="28" t="n">
        <f aca="false">-IF(2&gt;=Hypotheses!$B$44,Hypotheses!$B$19,0)</f>
        <v>-0</v>
      </c>
      <c r="D22" s="28" t="n">
        <f aca="false">-IF(3&gt;=Hypotheses!$B$44,Hypotheses!$B$19,0)</f>
        <v>-0</v>
      </c>
      <c r="E22" s="28" t="n">
        <f aca="false">-IF(4&gt;=Hypotheses!$B$44,Hypotheses!$B$19,0)</f>
        <v>-0</v>
      </c>
      <c r="F22" s="28" t="n">
        <f aca="false">-IF(5&gt;=Hypotheses!$B$44,Hypotheses!$B$19,0)</f>
        <v>-120</v>
      </c>
      <c r="G22" s="28" t="n">
        <f aca="false">-IF(6&gt;=Hypotheses!$B$44,Hypotheses!$B$19,0)</f>
        <v>-120</v>
      </c>
      <c r="H22" s="28" t="n">
        <f aca="false">-IF(7&gt;=Hypotheses!$B$44,Hypotheses!$B$19,0)</f>
        <v>-120</v>
      </c>
      <c r="I22" s="28" t="n">
        <f aca="false">-IF(8&gt;=Hypotheses!$B$44,Hypotheses!$B$19,0)</f>
        <v>-120</v>
      </c>
      <c r="J22" s="28" t="n">
        <f aca="false">-IF(9&gt;=Hypotheses!$B$44,Hypotheses!$B$19,0)</f>
        <v>-120</v>
      </c>
      <c r="K22" s="28" t="n">
        <f aca="false">-IF(10&gt;=Hypotheses!$B$44,Hypotheses!$B$19,0)</f>
        <v>-120</v>
      </c>
      <c r="L22" s="28" t="n">
        <f aca="false">-IF(11&gt;=Hypotheses!$B$44,Hypotheses!$B$19,0)</f>
        <v>-120</v>
      </c>
      <c r="M22" s="28" t="n">
        <f aca="false">-IF(12&gt;=Hypotheses!$B$44,Hypotheses!$B$19,0)</f>
        <v>-120</v>
      </c>
      <c r="N22" s="28" t="n">
        <f aca="false">-IF(13&gt;=Hypotheses!$B$44,Hypotheses!$B$19,0)</f>
        <v>-120</v>
      </c>
      <c r="O22" s="28" t="n">
        <f aca="false">-IF(14&gt;=Hypotheses!$B$44,Hypotheses!$B$19,0)</f>
        <v>-120</v>
      </c>
      <c r="P22" s="28" t="n">
        <f aca="false">-IF(15&gt;=Hypotheses!$B$44,Hypotheses!$B$19,0)</f>
        <v>-120</v>
      </c>
      <c r="Q22" s="28" t="n">
        <f aca="false">-IF(16&gt;=Hypotheses!$B$44,Hypotheses!$B$19,0)</f>
        <v>-120</v>
      </c>
      <c r="R22" s="28" t="n">
        <f aca="false">-IF(17&gt;=Hypotheses!$B$44,Hypotheses!$B$19,0)</f>
        <v>-120</v>
      </c>
      <c r="S22" s="28" t="n">
        <f aca="false">-IF(18&gt;=Hypotheses!$B$44,Hypotheses!$B$19,0)</f>
        <v>-120</v>
      </c>
      <c r="T22" s="28" t="n">
        <f aca="false">-IF(19&gt;=Hypotheses!$B$44,Hypotheses!$B$19,0)</f>
        <v>-120</v>
      </c>
      <c r="U22" s="28" t="n">
        <f aca="false">-IF(20&gt;=Hypotheses!$B$44,Hypotheses!$B$19,0)</f>
        <v>-120</v>
      </c>
      <c r="V22" s="28" t="n">
        <f aca="false">-IF(21&gt;=Hypotheses!$B$44,Hypotheses!$B$19,0)</f>
        <v>-120</v>
      </c>
      <c r="W22" s="28" t="n">
        <f aca="false">-IF(22&gt;=Hypotheses!$B$44,Hypotheses!$B$19,0)</f>
        <v>-120</v>
      </c>
      <c r="X22" s="28" t="n">
        <f aca="false">-IF(23&gt;=Hypotheses!$B$44,Hypotheses!$B$19,0)</f>
        <v>-120</v>
      </c>
      <c r="Y22" s="28" t="n">
        <f aca="false">-IF(24&gt;=Hypotheses!$B$44,Hypotheses!$B$19,0)</f>
        <v>-120</v>
      </c>
      <c r="Z22" s="29" t="n">
        <f aca="false">SUM(B22:Y22)</f>
        <v>-2400</v>
      </c>
    </row>
    <row r="23" customFormat="false" ht="15" hidden="false" customHeight="false" outlineLevel="0" collapsed="false">
      <c r="A23" s="21" t="s">
        <v>138</v>
      </c>
      <c r="B23" s="27" t="n">
        <f aca="false">B20+B21+B22</f>
        <v>-80</v>
      </c>
      <c r="C23" s="27" t="n">
        <f aca="false">C20+C21+C22</f>
        <v>-80</v>
      </c>
      <c r="D23" s="27" t="n">
        <f aca="false">D20+D21+D22</f>
        <v>-80</v>
      </c>
      <c r="E23" s="27" t="n">
        <f aca="false">E20+E21+E22</f>
        <v>-200</v>
      </c>
      <c r="F23" s="27" t="n">
        <f aca="false">F20+F21+F22</f>
        <v>-320</v>
      </c>
      <c r="G23" s="27" t="n">
        <f aca="false">G20+G21+G22</f>
        <v>-320</v>
      </c>
      <c r="H23" s="27" t="n">
        <f aca="false">H20+H21+H22</f>
        <v>-320</v>
      </c>
      <c r="I23" s="27" t="n">
        <f aca="false">I20+I21+I22</f>
        <v>-320</v>
      </c>
      <c r="J23" s="27" t="n">
        <f aca="false">J20+J21+J22</f>
        <v>-320</v>
      </c>
      <c r="K23" s="27" t="n">
        <f aca="false">K20+K21+K22</f>
        <v>-320</v>
      </c>
      <c r="L23" s="27" t="n">
        <f aca="false">L20+L21+L22</f>
        <v>-320</v>
      </c>
      <c r="M23" s="27" t="n">
        <f aca="false">M20+M21+M22</f>
        <v>-320</v>
      </c>
      <c r="N23" s="27" t="n">
        <f aca="false">N20+N21+N22</f>
        <v>-320</v>
      </c>
      <c r="O23" s="27" t="n">
        <f aca="false">O20+O21+O22</f>
        <v>-320</v>
      </c>
      <c r="P23" s="27" t="n">
        <f aca="false">P20+P21+P22</f>
        <v>-320</v>
      </c>
      <c r="Q23" s="27" t="n">
        <f aca="false">Q20+Q21+Q22</f>
        <v>-320</v>
      </c>
      <c r="R23" s="27" t="n">
        <f aca="false">R20+R21+R22</f>
        <v>-320</v>
      </c>
      <c r="S23" s="27" t="n">
        <f aca="false">S20+S21+S22</f>
        <v>-320</v>
      </c>
      <c r="T23" s="27" t="n">
        <f aca="false">T20+T21+T22</f>
        <v>-320</v>
      </c>
      <c r="U23" s="27" t="n">
        <f aca="false">U20+U21+U22</f>
        <v>-320</v>
      </c>
      <c r="V23" s="27" t="n">
        <f aca="false">V20+V21+V22</f>
        <v>-320</v>
      </c>
      <c r="W23" s="27" t="n">
        <f aca="false">W20+W21+W22</f>
        <v>-320</v>
      </c>
      <c r="X23" s="27" t="n">
        <f aca="false">X20+X21+X22</f>
        <v>-320</v>
      </c>
      <c r="Y23" s="27" t="n">
        <f aca="false">Y20+Y21+Y22</f>
        <v>-320</v>
      </c>
      <c r="Z23" s="27" t="n">
        <f aca="false">SUM(B23:Y23)</f>
        <v>-6840</v>
      </c>
    </row>
    <row r="24" customFormat="false" ht="15" hidden="false" customHeight="false" outlineLevel="0" collapsed="false">
      <c r="A24" s="3" t="s">
        <v>139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" hidden="false" customHeight="false" outlineLevel="0" collapsed="false">
      <c r="A25" s="5" t="s">
        <v>140</v>
      </c>
      <c r="B25" s="28" t="n">
        <f aca="false">MAX(0,(B12*Hypotheses!$B$9)*(1-Hypotheses!$B$8)+B21)</f>
        <v>0</v>
      </c>
      <c r="C25" s="28" t="n">
        <f aca="false">MAX(0,(C12*Hypotheses!$B$9)*(1-Hypotheses!$B$8)+C21)</f>
        <v>0</v>
      </c>
      <c r="D25" s="28" t="n">
        <f aca="false">MAX(0,(D12*Hypotheses!$B$9)*(1-Hypotheses!$B$8)+D21)</f>
        <v>0</v>
      </c>
      <c r="E25" s="28" t="n">
        <f aca="false">MAX(0,(E12*Hypotheses!$B$9)*(1-Hypotheses!$B$8)+E21)</f>
        <v>0</v>
      </c>
      <c r="F25" s="28" t="n">
        <f aca="false">MAX(0,(F12*Hypotheses!$B$9)*(1-Hypotheses!$B$8)+F21)</f>
        <v>0</v>
      </c>
      <c r="G25" s="28" t="n">
        <f aca="false">MAX(0,(G12*Hypotheses!$B$9)*(1-Hypotheses!$B$8)+G21)</f>
        <v>30.9469250688</v>
      </c>
      <c r="H25" s="28" t="n">
        <f aca="false">MAX(0,(H12*Hypotheses!$B$9)*(1-Hypotheses!$B$8)+H21)</f>
        <v>81.2625667584</v>
      </c>
      <c r="I25" s="28" t="n">
        <f aca="false">MAX(0,(I12*Hypotheses!$B$9)*(1-Hypotheses!$B$8)+I21)</f>
        <v>131.578208448</v>
      </c>
      <c r="J25" s="28" t="n">
        <f aca="false">MAX(0,(J12*Hypotheses!$B$9)*(1-Hypotheses!$B$8)+J21)</f>
        <v>181.8938501376</v>
      </c>
      <c r="K25" s="28" t="n">
        <f aca="false">MAX(0,(K12*Hypotheses!$B$9)*(1-Hypotheses!$B$8)+K21)</f>
        <v>232.2094918272</v>
      </c>
      <c r="L25" s="28" t="n">
        <f aca="false">MAX(0,(L12*Hypotheses!$B$9)*(1-Hypotheses!$B$8)+L21)</f>
        <v>282.5251335168</v>
      </c>
      <c r="M25" s="28" t="n">
        <f aca="false">MAX(0,(M12*Hypotheses!$B$9)*(1-Hypotheses!$B$8)+M21)</f>
        <v>332.8407752064</v>
      </c>
      <c r="N25" s="28" t="n">
        <f aca="false">MAX(0,(N12*Hypotheses!$B$9)*(1-Hypotheses!$B$8)+N21)</f>
        <v>383.156416896</v>
      </c>
      <c r="O25" s="28" t="n">
        <f aca="false">MAX(0,(O12*Hypotheses!$B$9)*(1-Hypotheses!$B$8)+O21)</f>
        <v>433.4720585856</v>
      </c>
      <c r="P25" s="28" t="n">
        <f aca="false">MAX(0,(P12*Hypotheses!$B$9)*(1-Hypotheses!$B$8)+P21)</f>
        <v>483.7877002752</v>
      </c>
      <c r="Q25" s="28" t="n">
        <f aca="false">MAX(0,(Q12*Hypotheses!$B$9)*(1-Hypotheses!$B$8)+Q21)</f>
        <v>534.1033419648</v>
      </c>
      <c r="R25" s="28" t="n">
        <f aca="false">MAX(0,(R12*Hypotheses!$B$9)*(1-Hypotheses!$B$8)+R21)</f>
        <v>584.4189836544</v>
      </c>
      <c r="S25" s="28" t="n">
        <f aca="false">MAX(0,(S12*Hypotheses!$B$9)*(1-Hypotheses!$B$8)+S21)</f>
        <v>634.734625344</v>
      </c>
      <c r="T25" s="28" t="n">
        <f aca="false">MAX(0,(T12*Hypotheses!$B$9)*(1-Hypotheses!$B$8)+T21)</f>
        <v>685.0502670336</v>
      </c>
      <c r="U25" s="28" t="n">
        <f aca="false">MAX(0,(U12*Hypotheses!$B$9)*(1-Hypotheses!$B$8)+U21)</f>
        <v>735.3659087232</v>
      </c>
      <c r="V25" s="28" t="n">
        <f aca="false">MAX(0,(V12*Hypotheses!$B$9)*(1-Hypotheses!$B$8)+V21)</f>
        <v>785.6815504128</v>
      </c>
      <c r="W25" s="28" t="n">
        <f aca="false">MAX(0,(W12*Hypotheses!$B$9)*(1-Hypotheses!$B$8)+W21)</f>
        <v>835.9971921024</v>
      </c>
      <c r="X25" s="28" t="n">
        <f aca="false">MAX(0,(X12*Hypotheses!$B$9)*(1-Hypotheses!$B$8)+X21)</f>
        <v>886.312833792</v>
      </c>
      <c r="Y25" s="28" t="n">
        <f aca="false">MAX(0,(Y12*Hypotheses!$B$9)*(1-Hypotheses!$B$8)+Y21)</f>
        <v>936.6284754816</v>
      </c>
      <c r="Z25" s="29" t="n">
        <f aca="false">SUM(B25:Y25)</f>
        <v>9191.9663052288</v>
      </c>
    </row>
    <row r="26" customFormat="false" ht="15" hidden="false" customHeight="false" outlineLevel="0" collapsed="false">
      <c r="A26" s="5" t="s">
        <v>141</v>
      </c>
      <c r="B26" s="28" t="n">
        <f aca="false">MAX(0,(B13*Hypotheses!$B$9)*(1-Hypotheses!$B$8)+B22)</f>
        <v>0</v>
      </c>
      <c r="C26" s="28" t="n">
        <f aca="false">MAX(0,(C13*Hypotheses!$B$9)*(1-Hypotheses!$B$8)+C22)</f>
        <v>0</v>
      </c>
      <c r="D26" s="28" t="n">
        <f aca="false">MAX(0,(D13*Hypotheses!$B$9)*(1-Hypotheses!$B$8)+D22)</f>
        <v>0</v>
      </c>
      <c r="E26" s="28" t="n">
        <f aca="false">MAX(0,(E13*Hypotheses!$B$9)*(1-Hypotheses!$B$8)+E22)</f>
        <v>0</v>
      </c>
      <c r="F26" s="28" t="n">
        <f aca="false">MAX(0,(F13*Hypotheses!$B$9)*(1-Hypotheses!$B$8)+F22)</f>
        <v>0</v>
      </c>
      <c r="G26" s="28" t="n">
        <f aca="false">MAX(0,(G13*Hypotheses!$B$9)*(1-Hypotheses!$B$8)+G22)</f>
        <v>0</v>
      </c>
      <c r="H26" s="28" t="n">
        <f aca="false">MAX(0,(H13*Hypotheses!$B$9)*(1-Hypotheses!$B$8)+H22)</f>
        <v>23.3458850688</v>
      </c>
      <c r="I26" s="28" t="n">
        <f aca="false">MAX(0,(I13*Hypotheses!$B$9)*(1-Hypotheses!$B$8)+I22)</f>
        <v>71.1278467584</v>
      </c>
      <c r="J26" s="28" t="n">
        <f aca="false">MAX(0,(J13*Hypotheses!$B$9)*(1-Hypotheses!$B$8)+J22)</f>
        <v>118.909808448</v>
      </c>
      <c r="K26" s="28" t="n">
        <f aca="false">MAX(0,(K13*Hypotheses!$B$9)*(1-Hypotheses!$B$8)+K22)</f>
        <v>166.6917701376</v>
      </c>
      <c r="L26" s="28" t="n">
        <f aca="false">MAX(0,(L13*Hypotheses!$B$9)*(1-Hypotheses!$B$8)+L22)</f>
        <v>214.4737318272</v>
      </c>
      <c r="M26" s="28" t="n">
        <f aca="false">MAX(0,(M13*Hypotheses!$B$9)*(1-Hypotheses!$B$8)+M22)</f>
        <v>262.2556935168</v>
      </c>
      <c r="N26" s="28" t="n">
        <f aca="false">MAX(0,(N13*Hypotheses!$B$9)*(1-Hypotheses!$B$8)+N22)</f>
        <v>310.0376552064</v>
      </c>
      <c r="O26" s="28" t="n">
        <f aca="false">MAX(0,(O13*Hypotheses!$B$9)*(1-Hypotheses!$B$8)+O22)</f>
        <v>357.819616896</v>
      </c>
      <c r="P26" s="28" t="n">
        <f aca="false">MAX(0,(P13*Hypotheses!$B$9)*(1-Hypotheses!$B$8)+P22)</f>
        <v>405.6015785856</v>
      </c>
      <c r="Q26" s="28" t="n">
        <f aca="false">MAX(0,(Q13*Hypotheses!$B$9)*(1-Hypotheses!$B$8)+Q22)</f>
        <v>453.3835402752</v>
      </c>
      <c r="R26" s="28" t="n">
        <f aca="false">MAX(0,(R13*Hypotheses!$B$9)*(1-Hypotheses!$B$8)+R22)</f>
        <v>501.1655019648</v>
      </c>
      <c r="S26" s="28" t="n">
        <f aca="false">MAX(0,(S13*Hypotheses!$B$9)*(1-Hypotheses!$B$8)+S22)</f>
        <v>548.9474636544</v>
      </c>
      <c r="T26" s="28" t="n">
        <f aca="false">MAX(0,(T13*Hypotheses!$B$9)*(1-Hypotheses!$B$8)+T22)</f>
        <v>596.729425344</v>
      </c>
      <c r="U26" s="28" t="n">
        <f aca="false">MAX(0,(U13*Hypotheses!$B$9)*(1-Hypotheses!$B$8)+U22)</f>
        <v>644.5113870336</v>
      </c>
      <c r="V26" s="28" t="n">
        <f aca="false">MAX(0,(V13*Hypotheses!$B$9)*(1-Hypotheses!$B$8)+V22)</f>
        <v>692.2933487232</v>
      </c>
      <c r="W26" s="28" t="n">
        <f aca="false">MAX(0,(W13*Hypotheses!$B$9)*(1-Hypotheses!$B$8)+W22)</f>
        <v>740.0753104128</v>
      </c>
      <c r="X26" s="28" t="n">
        <f aca="false">MAX(0,(X13*Hypotheses!$B$9)*(1-Hypotheses!$B$8)+X22)</f>
        <v>787.8572721024</v>
      </c>
      <c r="Y26" s="28" t="n">
        <f aca="false">MAX(0,(Y13*Hypotheses!$B$9)*(1-Hypotheses!$B$8)+Y22)</f>
        <v>835.639233792</v>
      </c>
      <c r="Z26" s="29" t="n">
        <f aca="false">SUM(B26:Y26)</f>
        <v>7730.8660697472</v>
      </c>
    </row>
    <row r="27" customFormat="false" ht="15" hidden="false" customHeight="false" outlineLevel="0" collapsed="false">
      <c r="A27" s="5" t="s">
        <v>142</v>
      </c>
      <c r="B27" s="28" t="n">
        <f aca="false">-B25*Hypotheses!$B$12</f>
        <v>-0</v>
      </c>
      <c r="C27" s="28" t="n">
        <f aca="false">-C25*Hypotheses!$B$12</f>
        <v>-0</v>
      </c>
      <c r="D27" s="28" t="n">
        <f aca="false">-D25*Hypotheses!$B$12</f>
        <v>-0</v>
      </c>
      <c r="E27" s="28" t="n">
        <f aca="false">-E25*Hypotheses!$B$12</f>
        <v>-0</v>
      </c>
      <c r="F27" s="28" t="n">
        <f aca="false">-F25*Hypotheses!$B$12</f>
        <v>-0</v>
      </c>
      <c r="G27" s="28" t="n">
        <f aca="false">-G25*Hypotheses!$B$12</f>
        <v>-21.66284754816</v>
      </c>
      <c r="H27" s="28" t="n">
        <f aca="false">-H25*Hypotheses!$B$12</f>
        <v>-56.88379673088</v>
      </c>
      <c r="I27" s="28" t="n">
        <f aca="false">-I25*Hypotheses!$B$12</f>
        <v>-92.1047459136</v>
      </c>
      <c r="J27" s="28" t="n">
        <f aca="false">-J25*Hypotheses!$B$12</f>
        <v>-127.32569509632</v>
      </c>
      <c r="K27" s="28" t="n">
        <f aca="false">-K25*Hypotheses!$B$12</f>
        <v>-162.54664427904</v>
      </c>
      <c r="L27" s="28" t="n">
        <f aca="false">-L25*Hypotheses!$B$12</f>
        <v>-197.76759346176</v>
      </c>
      <c r="M27" s="28" t="n">
        <f aca="false">-M25*Hypotheses!$B$12</f>
        <v>-232.98854264448</v>
      </c>
      <c r="N27" s="28" t="n">
        <f aca="false">-N25*Hypotheses!$B$12</f>
        <v>-268.2094918272</v>
      </c>
      <c r="O27" s="28" t="n">
        <f aca="false">-O25*Hypotheses!$B$12</f>
        <v>-303.43044100992</v>
      </c>
      <c r="P27" s="28" t="n">
        <f aca="false">-P25*Hypotheses!$B$12</f>
        <v>-338.65139019264</v>
      </c>
      <c r="Q27" s="28" t="n">
        <f aca="false">-Q25*Hypotheses!$B$12</f>
        <v>-373.87233937536</v>
      </c>
      <c r="R27" s="28" t="n">
        <f aca="false">-R25*Hypotheses!$B$12</f>
        <v>-409.09328855808</v>
      </c>
      <c r="S27" s="28" t="n">
        <f aca="false">-S25*Hypotheses!$B$12</f>
        <v>-444.3142377408</v>
      </c>
      <c r="T27" s="28" t="n">
        <f aca="false">-T25*Hypotheses!$B$12</f>
        <v>-479.53518692352</v>
      </c>
      <c r="U27" s="28" t="n">
        <f aca="false">-U25*Hypotheses!$B$12</f>
        <v>-514.75613610624</v>
      </c>
      <c r="V27" s="28" t="n">
        <f aca="false">-V25*Hypotheses!$B$12</f>
        <v>-549.97708528896</v>
      </c>
      <c r="W27" s="28" t="n">
        <f aca="false">-W25*Hypotheses!$B$12</f>
        <v>-585.19803447168</v>
      </c>
      <c r="X27" s="28" t="n">
        <f aca="false">-X25*Hypotheses!$B$12</f>
        <v>-620.4189836544</v>
      </c>
      <c r="Y27" s="28" t="n">
        <f aca="false">-Y25*Hypotheses!$B$12</f>
        <v>-655.63993283712</v>
      </c>
      <c r="Z27" s="29" t="n">
        <f aca="false">SUM(B27:Y27)</f>
        <v>-6434.37641366016</v>
      </c>
    </row>
    <row r="28" customFormat="false" ht="15" hidden="false" customHeight="false" outlineLevel="0" collapsed="false">
      <c r="A28" s="5" t="s">
        <v>143</v>
      </c>
      <c r="B28" s="28" t="n">
        <f aca="false">-B26*Hypotheses!$B$13</f>
        <v>-0</v>
      </c>
      <c r="C28" s="28" t="n">
        <f aca="false">-C26*Hypotheses!$B$13</f>
        <v>-0</v>
      </c>
      <c r="D28" s="28" t="n">
        <f aca="false">-D26*Hypotheses!$B$13</f>
        <v>-0</v>
      </c>
      <c r="E28" s="28" t="n">
        <f aca="false">-E26*Hypotheses!$B$13</f>
        <v>-0</v>
      </c>
      <c r="F28" s="28" t="n">
        <f aca="false">-F26*Hypotheses!$B$13</f>
        <v>-0</v>
      </c>
      <c r="G28" s="28" t="n">
        <f aca="false">-G26*Hypotheses!$B$13</f>
        <v>-0</v>
      </c>
      <c r="H28" s="28" t="n">
        <f aca="false">-H26*Hypotheses!$B$13</f>
        <v>-16.34211954816</v>
      </c>
      <c r="I28" s="28" t="n">
        <f aca="false">-I26*Hypotheses!$B$13</f>
        <v>-49.78949273088</v>
      </c>
      <c r="J28" s="28" t="n">
        <f aca="false">-J26*Hypotheses!$B$13</f>
        <v>-83.2368659136</v>
      </c>
      <c r="K28" s="28" t="n">
        <f aca="false">-K26*Hypotheses!$B$13</f>
        <v>-116.68423909632</v>
      </c>
      <c r="L28" s="28" t="n">
        <f aca="false">-L26*Hypotheses!$B$13</f>
        <v>-150.13161227904</v>
      </c>
      <c r="M28" s="28" t="n">
        <f aca="false">-M26*Hypotheses!$B$13</f>
        <v>-183.57898546176</v>
      </c>
      <c r="N28" s="28" t="n">
        <f aca="false">-N26*Hypotheses!$B$13</f>
        <v>-217.02635864448</v>
      </c>
      <c r="O28" s="28" t="n">
        <f aca="false">-O26*Hypotheses!$B$13</f>
        <v>-250.4737318272</v>
      </c>
      <c r="P28" s="28" t="n">
        <f aca="false">-P26*Hypotheses!$B$13</f>
        <v>-283.92110500992</v>
      </c>
      <c r="Q28" s="28" t="n">
        <f aca="false">-Q26*Hypotheses!$B$13</f>
        <v>-317.36847819264</v>
      </c>
      <c r="R28" s="28" t="n">
        <f aca="false">-R26*Hypotheses!$B$13</f>
        <v>-350.81585137536</v>
      </c>
      <c r="S28" s="28" t="n">
        <f aca="false">-S26*Hypotheses!$B$13</f>
        <v>-384.26322455808</v>
      </c>
      <c r="T28" s="28" t="n">
        <f aca="false">-T26*Hypotheses!$B$13</f>
        <v>-417.7105977408</v>
      </c>
      <c r="U28" s="28" t="n">
        <f aca="false">-U26*Hypotheses!$B$13</f>
        <v>-451.15797092352</v>
      </c>
      <c r="V28" s="28" t="n">
        <f aca="false">-V26*Hypotheses!$B$13</f>
        <v>-484.60534410624</v>
      </c>
      <c r="W28" s="28" t="n">
        <f aca="false">-W26*Hypotheses!$B$13</f>
        <v>-518.05271728896</v>
      </c>
      <c r="X28" s="28" t="n">
        <f aca="false">-X26*Hypotheses!$B$13</f>
        <v>-551.50009047168</v>
      </c>
      <c r="Y28" s="28" t="n">
        <f aca="false">-Y26*Hypotheses!$B$13</f>
        <v>-584.9474636544</v>
      </c>
      <c r="Z28" s="29" t="n">
        <f aca="false">SUM(B28:Y28)</f>
        <v>-5411.60624882304</v>
      </c>
    </row>
    <row r="29" customFormat="false" ht="15" hidden="false" customHeight="false" outlineLevel="0" collapsed="false">
      <c r="A29" s="3" t="s">
        <v>144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" hidden="false" customHeight="false" outlineLevel="0" collapsed="false">
      <c r="A30" s="21" t="s">
        <v>145</v>
      </c>
      <c r="B30" s="27" t="n">
        <f aca="false">B18+B23+B27+B28</f>
        <v>-59.73056</v>
      </c>
      <c r="C30" s="27" t="n">
        <f aca="false">C18+C23+C27+C28</f>
        <v>-21.72536</v>
      </c>
      <c r="D30" s="27" t="n">
        <f aca="false">D18+D23+D27+D28</f>
        <v>16.27984</v>
      </c>
      <c r="E30" s="27" t="n">
        <f aca="false">E18+E23+E27+E28</f>
        <v>-15.3993183104</v>
      </c>
      <c r="F30" s="27" t="n">
        <f aca="false">F18+F23+F27+F28</f>
        <v>0.703485068799978</v>
      </c>
      <c r="G30" s="27" t="n">
        <f aca="false">G18+G23+G27+G28</f>
        <v>115.14344089984</v>
      </c>
      <c r="H30" s="27" t="n">
        <f aca="false">H18+H23+H27+H28</f>
        <v>199.68317554816</v>
      </c>
      <c r="I30" s="27" t="n">
        <f aca="false">I18+I23+I27+I28</f>
        <v>267.11765656192</v>
      </c>
      <c r="J30" s="27" t="n">
        <f aca="false">J18+J23+J27+J28</f>
        <v>334.55213757568</v>
      </c>
      <c r="K30" s="27" t="n">
        <f aca="false">K18+K23+K27+K28</f>
        <v>401.98661858944</v>
      </c>
      <c r="L30" s="27" t="n">
        <f aca="false">L18+L23+L27+L28</f>
        <v>469.4210996032</v>
      </c>
      <c r="M30" s="27" t="n">
        <f aca="false">M18+M23+M27+M28</f>
        <v>536.85558061696</v>
      </c>
      <c r="N30" s="27" t="n">
        <f aca="false">N18+N23+N27+N28</f>
        <v>604.29006163072</v>
      </c>
      <c r="O30" s="27" t="n">
        <f aca="false">O18+O23+O27+O28</f>
        <v>671.72454264448</v>
      </c>
      <c r="P30" s="27" t="n">
        <f aca="false">P18+P23+P27+P28</f>
        <v>739.15902365824</v>
      </c>
      <c r="Q30" s="27" t="n">
        <f aca="false">Q18+Q23+Q27+Q28</f>
        <v>806.593504672</v>
      </c>
      <c r="R30" s="27" t="n">
        <f aca="false">R18+R23+R27+R28</f>
        <v>874.02798568576</v>
      </c>
      <c r="S30" s="27" t="n">
        <f aca="false">S18+S23+S27+S28</f>
        <v>941.46246669952</v>
      </c>
      <c r="T30" s="27" t="n">
        <f aca="false">T18+T23+T27+T28</f>
        <v>1008.89694771328</v>
      </c>
      <c r="U30" s="27" t="n">
        <f aca="false">U18+U23+U27+U28</f>
        <v>1076.33142872704</v>
      </c>
      <c r="V30" s="27" t="n">
        <f aca="false">V18+V23+V27+V28</f>
        <v>1143.7659097408</v>
      </c>
      <c r="W30" s="27" t="n">
        <f aca="false">W18+W23+W27+W28</f>
        <v>1211.20039075456</v>
      </c>
      <c r="X30" s="27" t="n">
        <f aca="false">X18+X23+X27+X28</f>
        <v>1278.63487176832</v>
      </c>
      <c r="Y30" s="27" t="n">
        <f aca="false">Y18+Y23+Y27+Y28</f>
        <v>1346.06935278208</v>
      </c>
      <c r="Z30" s="27" t="n">
        <f aca="false">SUM(B30:Y30)</f>
        <v>13947.0442826304</v>
      </c>
    </row>
    <row r="31" customFormat="false" ht="15" hidden="false" customHeight="false" outlineLevel="0" collapsed="false">
      <c r="A31" s="3" t="s">
        <v>146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" hidden="false" customHeight="false" outlineLevel="0" collapsed="false">
      <c r="A32" s="5" t="s">
        <v>147</v>
      </c>
      <c r="B32" s="28" t="n">
        <f aca="false">-Hypotheses!$B$22</f>
        <v>-25</v>
      </c>
      <c r="C32" s="28" t="n">
        <f aca="false">-Hypotheses!$B$22</f>
        <v>-25</v>
      </c>
      <c r="D32" s="28" t="n">
        <f aca="false">-Hypotheses!$B$22</f>
        <v>-25</v>
      </c>
      <c r="E32" s="28" t="n">
        <f aca="false">-Hypotheses!$B$22</f>
        <v>-25</v>
      </c>
      <c r="F32" s="28" t="n">
        <f aca="false">-Hypotheses!$B$22</f>
        <v>-25</v>
      </c>
      <c r="G32" s="28" t="n">
        <f aca="false">-Hypotheses!$B$22</f>
        <v>-25</v>
      </c>
      <c r="H32" s="28" t="n">
        <f aca="false">-Hypotheses!$B$22</f>
        <v>-25</v>
      </c>
      <c r="I32" s="28" t="n">
        <f aca="false">-Hypotheses!$B$22</f>
        <v>-25</v>
      </c>
      <c r="J32" s="28" t="n">
        <f aca="false">-Hypotheses!$B$22</f>
        <v>-25</v>
      </c>
      <c r="K32" s="28" t="n">
        <f aca="false">-Hypotheses!$B$22</f>
        <v>-25</v>
      </c>
      <c r="L32" s="28" t="n">
        <f aca="false">-Hypotheses!$B$22</f>
        <v>-25</v>
      </c>
      <c r="M32" s="28" t="n">
        <f aca="false">-Hypotheses!$B$22</f>
        <v>-25</v>
      </c>
      <c r="N32" s="28" t="n">
        <f aca="false">-Hypotheses!$B$22</f>
        <v>-25</v>
      </c>
      <c r="O32" s="28" t="n">
        <f aca="false">-Hypotheses!$B$22</f>
        <v>-25</v>
      </c>
      <c r="P32" s="28" t="n">
        <f aca="false">-Hypotheses!$B$22</f>
        <v>-25</v>
      </c>
      <c r="Q32" s="28" t="n">
        <f aca="false">-Hypotheses!$B$22</f>
        <v>-25</v>
      </c>
      <c r="R32" s="28" t="n">
        <f aca="false">-Hypotheses!$B$22</f>
        <v>-25</v>
      </c>
      <c r="S32" s="28" t="n">
        <f aca="false">-Hypotheses!$B$22</f>
        <v>-25</v>
      </c>
      <c r="T32" s="28" t="n">
        <f aca="false">-Hypotheses!$B$22</f>
        <v>-25</v>
      </c>
      <c r="U32" s="28" t="n">
        <f aca="false">-Hypotheses!$B$22</f>
        <v>-25</v>
      </c>
      <c r="V32" s="28" t="n">
        <f aca="false">-Hypotheses!$B$22</f>
        <v>-25</v>
      </c>
      <c r="W32" s="28" t="n">
        <f aca="false">-Hypotheses!$B$22</f>
        <v>-25</v>
      </c>
      <c r="X32" s="28" t="n">
        <f aca="false">-Hypotheses!$B$22</f>
        <v>-25</v>
      </c>
      <c r="Y32" s="28" t="n">
        <f aca="false">-Hypotheses!$B$22</f>
        <v>-25</v>
      </c>
      <c r="Z32" s="29" t="n">
        <f aca="false">SUM(B32:Y32)</f>
        <v>-600</v>
      </c>
    </row>
    <row r="33" customFormat="false" ht="15" hidden="false" customHeight="false" outlineLevel="0" collapsed="false">
      <c r="A33" s="5" t="s">
        <v>148</v>
      </c>
      <c r="B33" s="28" t="n">
        <f aca="false">-Hypotheses!$B$23</f>
        <v>-40</v>
      </c>
      <c r="C33" s="28" t="n">
        <f aca="false">-Hypotheses!$B$23</f>
        <v>-40</v>
      </c>
      <c r="D33" s="28" t="n">
        <f aca="false">-Hypotheses!$B$23</f>
        <v>-40</v>
      </c>
      <c r="E33" s="28" t="n">
        <f aca="false">-Hypotheses!$B$23</f>
        <v>-40</v>
      </c>
      <c r="F33" s="28" t="n">
        <f aca="false">-Hypotheses!$B$23</f>
        <v>-40</v>
      </c>
      <c r="G33" s="28" t="n">
        <f aca="false">-Hypotheses!$B$23</f>
        <v>-40</v>
      </c>
      <c r="H33" s="28" t="n">
        <f aca="false">-Hypotheses!$B$23</f>
        <v>-40</v>
      </c>
      <c r="I33" s="28" t="n">
        <f aca="false">-Hypotheses!$B$23</f>
        <v>-40</v>
      </c>
      <c r="J33" s="28" t="n">
        <f aca="false">-Hypotheses!$B$23</f>
        <v>-40</v>
      </c>
      <c r="K33" s="28" t="n">
        <f aca="false">-Hypotheses!$B$23</f>
        <v>-40</v>
      </c>
      <c r="L33" s="28" t="n">
        <f aca="false">-Hypotheses!$B$23</f>
        <v>-40</v>
      </c>
      <c r="M33" s="28" t="n">
        <f aca="false">-Hypotheses!$B$23</f>
        <v>-40</v>
      </c>
      <c r="N33" s="28" t="n">
        <f aca="false">-Hypotheses!$B$23</f>
        <v>-40</v>
      </c>
      <c r="O33" s="28" t="n">
        <f aca="false">-Hypotheses!$B$23</f>
        <v>-40</v>
      </c>
      <c r="P33" s="28" t="n">
        <f aca="false">-Hypotheses!$B$23</f>
        <v>-40</v>
      </c>
      <c r="Q33" s="28" t="n">
        <f aca="false">-Hypotheses!$B$23</f>
        <v>-40</v>
      </c>
      <c r="R33" s="28" t="n">
        <f aca="false">-Hypotheses!$B$23</f>
        <v>-40</v>
      </c>
      <c r="S33" s="28" t="n">
        <f aca="false">-Hypotheses!$B$23</f>
        <v>-40</v>
      </c>
      <c r="T33" s="28" t="n">
        <f aca="false">-Hypotheses!$B$23</f>
        <v>-40</v>
      </c>
      <c r="U33" s="28" t="n">
        <f aca="false">-Hypotheses!$B$23</f>
        <v>-40</v>
      </c>
      <c r="V33" s="28" t="n">
        <f aca="false">-Hypotheses!$B$23</f>
        <v>-40</v>
      </c>
      <c r="W33" s="28" t="n">
        <f aca="false">-Hypotheses!$B$23</f>
        <v>-40</v>
      </c>
      <c r="X33" s="28" t="n">
        <f aca="false">-Hypotheses!$B$23</f>
        <v>-40</v>
      </c>
      <c r="Y33" s="28" t="n">
        <f aca="false">-Hypotheses!$B$23</f>
        <v>-40</v>
      </c>
      <c r="Z33" s="29" t="n">
        <f aca="false">SUM(B33:Y33)</f>
        <v>-960</v>
      </c>
    </row>
    <row r="34" customFormat="false" ht="15" hidden="false" customHeight="false" outlineLevel="0" collapsed="false">
      <c r="A34" s="5" t="s">
        <v>149</v>
      </c>
      <c r="B34" s="28" t="n">
        <f aca="false">-Hypotheses!$B$24</f>
        <v>-10</v>
      </c>
      <c r="C34" s="28" t="n">
        <f aca="false">-Hypotheses!$B$24</f>
        <v>-10</v>
      </c>
      <c r="D34" s="28" t="n">
        <f aca="false">-Hypotheses!$B$24</f>
        <v>-10</v>
      </c>
      <c r="E34" s="28" t="n">
        <f aca="false">-Hypotheses!$B$24</f>
        <v>-10</v>
      </c>
      <c r="F34" s="28" t="n">
        <f aca="false">-Hypotheses!$B$24</f>
        <v>-10</v>
      </c>
      <c r="G34" s="28" t="n">
        <f aca="false">-Hypotheses!$B$24</f>
        <v>-10</v>
      </c>
      <c r="H34" s="28" t="n">
        <f aca="false">-Hypotheses!$B$24</f>
        <v>-10</v>
      </c>
      <c r="I34" s="28" t="n">
        <f aca="false">-Hypotheses!$B$24</f>
        <v>-10</v>
      </c>
      <c r="J34" s="28" t="n">
        <f aca="false">-Hypotheses!$B$24</f>
        <v>-10</v>
      </c>
      <c r="K34" s="28" t="n">
        <f aca="false">-Hypotheses!$B$24</f>
        <v>-10</v>
      </c>
      <c r="L34" s="28" t="n">
        <f aca="false">-Hypotheses!$B$24</f>
        <v>-10</v>
      </c>
      <c r="M34" s="28" t="n">
        <f aca="false">-Hypotheses!$B$24</f>
        <v>-10</v>
      </c>
      <c r="N34" s="28" t="n">
        <f aca="false">-Hypotheses!$B$24</f>
        <v>-10</v>
      </c>
      <c r="O34" s="28" t="n">
        <f aca="false">-Hypotheses!$B$24</f>
        <v>-10</v>
      </c>
      <c r="P34" s="28" t="n">
        <f aca="false">-Hypotheses!$B$24</f>
        <v>-10</v>
      </c>
      <c r="Q34" s="28" t="n">
        <f aca="false">-Hypotheses!$B$24</f>
        <v>-10</v>
      </c>
      <c r="R34" s="28" t="n">
        <f aca="false">-Hypotheses!$B$24</f>
        <v>-10</v>
      </c>
      <c r="S34" s="28" t="n">
        <f aca="false">-Hypotheses!$B$24</f>
        <v>-10</v>
      </c>
      <c r="T34" s="28" t="n">
        <f aca="false">-Hypotheses!$B$24</f>
        <v>-10</v>
      </c>
      <c r="U34" s="28" t="n">
        <f aca="false">-Hypotheses!$B$24</f>
        <v>-10</v>
      </c>
      <c r="V34" s="28" t="n">
        <f aca="false">-Hypotheses!$B$24</f>
        <v>-10</v>
      </c>
      <c r="W34" s="28" t="n">
        <f aca="false">-Hypotheses!$B$24</f>
        <v>-10</v>
      </c>
      <c r="X34" s="28" t="n">
        <f aca="false">-Hypotheses!$B$24</f>
        <v>-10</v>
      </c>
      <c r="Y34" s="28" t="n">
        <f aca="false">-Hypotheses!$B$24</f>
        <v>-10</v>
      </c>
      <c r="Z34" s="29" t="n">
        <f aca="false">SUM(B34:Y34)</f>
        <v>-240</v>
      </c>
    </row>
    <row r="35" customFormat="false" ht="15" hidden="false" customHeight="false" outlineLevel="0" collapsed="false">
      <c r="A35" s="5" t="s">
        <v>33</v>
      </c>
      <c r="B35" s="28" t="n">
        <f aca="false">-Hypotheses!$B$25</f>
        <v>-80</v>
      </c>
      <c r="C35" s="28" t="n">
        <f aca="false">-Hypotheses!$B$25</f>
        <v>-80</v>
      </c>
      <c r="D35" s="28" t="n">
        <f aca="false">-Hypotheses!$B$25</f>
        <v>-80</v>
      </c>
      <c r="E35" s="28" t="n">
        <f aca="false">-Hypotheses!$B$25</f>
        <v>-80</v>
      </c>
      <c r="F35" s="28" t="n">
        <f aca="false">-Hypotheses!$B$25</f>
        <v>-80</v>
      </c>
      <c r="G35" s="28" t="n">
        <f aca="false">-Hypotheses!$B$25</f>
        <v>-80</v>
      </c>
      <c r="H35" s="28" t="n">
        <f aca="false">-Hypotheses!$B$25</f>
        <v>-80</v>
      </c>
      <c r="I35" s="28" t="n">
        <f aca="false">-Hypotheses!$B$25</f>
        <v>-80</v>
      </c>
      <c r="J35" s="28" t="n">
        <f aca="false">-Hypotheses!$B$25</f>
        <v>-80</v>
      </c>
      <c r="K35" s="28" t="n">
        <f aca="false">-Hypotheses!$B$25</f>
        <v>-80</v>
      </c>
      <c r="L35" s="28" t="n">
        <f aca="false">-Hypotheses!$B$25</f>
        <v>-80</v>
      </c>
      <c r="M35" s="28" t="n">
        <f aca="false">-Hypotheses!$B$25</f>
        <v>-80</v>
      </c>
      <c r="N35" s="28" t="n">
        <f aca="false">-Hypotheses!$B$25</f>
        <v>-80</v>
      </c>
      <c r="O35" s="28" t="n">
        <f aca="false">-Hypotheses!$B$25</f>
        <v>-80</v>
      </c>
      <c r="P35" s="28" t="n">
        <f aca="false">-Hypotheses!$B$25</f>
        <v>-80</v>
      </c>
      <c r="Q35" s="28" t="n">
        <f aca="false">-Hypotheses!$B$25</f>
        <v>-80</v>
      </c>
      <c r="R35" s="28" t="n">
        <f aca="false">-Hypotheses!$B$25</f>
        <v>-80</v>
      </c>
      <c r="S35" s="28" t="n">
        <f aca="false">-Hypotheses!$B$25</f>
        <v>-80</v>
      </c>
      <c r="T35" s="28" t="n">
        <f aca="false">-Hypotheses!$B$25</f>
        <v>-80</v>
      </c>
      <c r="U35" s="28" t="n">
        <f aca="false">-Hypotheses!$B$25</f>
        <v>-80</v>
      </c>
      <c r="V35" s="28" t="n">
        <f aca="false">-Hypotheses!$B$25</f>
        <v>-80</v>
      </c>
      <c r="W35" s="28" t="n">
        <f aca="false">-Hypotheses!$B$25</f>
        <v>-80</v>
      </c>
      <c r="X35" s="28" t="n">
        <f aca="false">-Hypotheses!$B$25</f>
        <v>-80</v>
      </c>
      <c r="Y35" s="28" t="n">
        <f aca="false">-Hypotheses!$B$25</f>
        <v>-80</v>
      </c>
      <c r="Z35" s="29" t="n">
        <f aca="false">SUM(B35:Y35)</f>
        <v>-1920</v>
      </c>
    </row>
    <row r="36" customFormat="false" ht="15" hidden="false" customHeight="false" outlineLevel="0" collapsed="false">
      <c r="A36" s="21" t="s">
        <v>150</v>
      </c>
      <c r="B36" s="27" t="n">
        <f aca="false">B32+B33+B34+B35</f>
        <v>-155</v>
      </c>
      <c r="C36" s="27" t="n">
        <f aca="false">C32+C33+C34+C35</f>
        <v>-155</v>
      </c>
      <c r="D36" s="27" t="n">
        <f aca="false">D32+D33+D34+D35</f>
        <v>-155</v>
      </c>
      <c r="E36" s="27" t="n">
        <f aca="false">E32+E33+E34+E35</f>
        <v>-155</v>
      </c>
      <c r="F36" s="27" t="n">
        <f aca="false">F32+F33+F34+F35</f>
        <v>-155</v>
      </c>
      <c r="G36" s="27" t="n">
        <f aca="false">G32+G33+G34+G35</f>
        <v>-155</v>
      </c>
      <c r="H36" s="27" t="n">
        <f aca="false">H32+H33+H34+H35</f>
        <v>-155</v>
      </c>
      <c r="I36" s="27" t="n">
        <f aca="false">I32+I33+I34+I35</f>
        <v>-155</v>
      </c>
      <c r="J36" s="27" t="n">
        <f aca="false">J32+J33+J34+J35</f>
        <v>-155</v>
      </c>
      <c r="K36" s="27" t="n">
        <f aca="false">K32+K33+K34+K35</f>
        <v>-155</v>
      </c>
      <c r="L36" s="27" t="n">
        <f aca="false">L32+L33+L34+L35</f>
        <v>-155</v>
      </c>
      <c r="M36" s="27" t="n">
        <f aca="false">M32+M33+M34+M35</f>
        <v>-155</v>
      </c>
      <c r="N36" s="27" t="n">
        <f aca="false">N32+N33+N34+N35</f>
        <v>-155</v>
      </c>
      <c r="O36" s="27" t="n">
        <f aca="false">O32+O33+O34+O35</f>
        <v>-155</v>
      </c>
      <c r="P36" s="27" t="n">
        <f aca="false">P32+P33+P34+P35</f>
        <v>-155</v>
      </c>
      <c r="Q36" s="27" t="n">
        <f aca="false">Q32+Q33+Q34+Q35</f>
        <v>-155</v>
      </c>
      <c r="R36" s="27" t="n">
        <f aca="false">R32+R33+R34+R35</f>
        <v>-155</v>
      </c>
      <c r="S36" s="27" t="n">
        <f aca="false">S32+S33+S34+S35</f>
        <v>-155</v>
      </c>
      <c r="T36" s="27" t="n">
        <f aca="false">T32+T33+T34+T35</f>
        <v>-155</v>
      </c>
      <c r="U36" s="27" t="n">
        <f aca="false">U32+U33+U34+U35</f>
        <v>-155</v>
      </c>
      <c r="V36" s="27" t="n">
        <f aca="false">V32+V33+V34+V35</f>
        <v>-155</v>
      </c>
      <c r="W36" s="27" t="n">
        <f aca="false">W32+W33+W34+W35</f>
        <v>-155</v>
      </c>
      <c r="X36" s="27" t="n">
        <f aca="false">X32+X33+X34+X35</f>
        <v>-155</v>
      </c>
      <c r="Y36" s="27" t="n">
        <f aca="false">Y32+Y33+Y34+Y35</f>
        <v>-155</v>
      </c>
      <c r="Z36" s="27" t="n">
        <f aca="false">SUM(B36:Y36)</f>
        <v>-3720</v>
      </c>
    </row>
    <row r="37" customFormat="false" ht="15" hidden="false" customHeight="false" outlineLevel="0" collapsed="false">
      <c r="A37" s="3" t="s">
        <v>151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" hidden="false" customHeight="false" outlineLevel="0" collapsed="false">
      <c r="A38" s="21" t="s">
        <v>152</v>
      </c>
      <c r="B38" s="27" t="n">
        <f aca="false">B30+B36</f>
        <v>-214.73056</v>
      </c>
      <c r="C38" s="27" t="n">
        <f aca="false">C30+C36</f>
        <v>-176.72536</v>
      </c>
      <c r="D38" s="27" t="n">
        <f aca="false">D30+D36</f>
        <v>-138.72016</v>
      </c>
      <c r="E38" s="27" t="n">
        <f aca="false">E30+E36</f>
        <v>-170.3993183104</v>
      </c>
      <c r="F38" s="27" t="n">
        <f aca="false">F30+F36</f>
        <v>-154.2965149312</v>
      </c>
      <c r="G38" s="27" t="n">
        <f aca="false">G30+G36</f>
        <v>-39.85655910016</v>
      </c>
      <c r="H38" s="27" t="n">
        <f aca="false">H30+H36</f>
        <v>44.6831755481599</v>
      </c>
      <c r="I38" s="27" t="n">
        <f aca="false">I30+I36</f>
        <v>112.11765656192</v>
      </c>
      <c r="J38" s="27" t="n">
        <f aca="false">J30+J36</f>
        <v>179.55213757568</v>
      </c>
      <c r="K38" s="27" t="n">
        <f aca="false">K30+K36</f>
        <v>246.98661858944</v>
      </c>
      <c r="L38" s="27" t="n">
        <f aca="false">L30+L36</f>
        <v>314.4210996032</v>
      </c>
      <c r="M38" s="27" t="n">
        <f aca="false">M30+M36</f>
        <v>381.85558061696</v>
      </c>
      <c r="N38" s="27" t="n">
        <f aca="false">N30+N36</f>
        <v>449.29006163072</v>
      </c>
      <c r="O38" s="27" t="n">
        <f aca="false">O30+O36</f>
        <v>516.72454264448</v>
      </c>
      <c r="P38" s="27" t="n">
        <f aca="false">P30+P36</f>
        <v>584.15902365824</v>
      </c>
      <c r="Q38" s="27" t="n">
        <f aca="false">Q30+Q36</f>
        <v>651.593504672</v>
      </c>
      <c r="R38" s="27" t="n">
        <f aca="false">R30+R36</f>
        <v>719.02798568576</v>
      </c>
      <c r="S38" s="27" t="n">
        <f aca="false">S30+S36</f>
        <v>786.46246669952</v>
      </c>
      <c r="T38" s="27" t="n">
        <f aca="false">T30+T36</f>
        <v>853.89694771328</v>
      </c>
      <c r="U38" s="27" t="n">
        <f aca="false">U30+U36</f>
        <v>921.33142872704</v>
      </c>
      <c r="V38" s="27" t="n">
        <f aca="false">V30+V36</f>
        <v>988.7659097408</v>
      </c>
      <c r="W38" s="27" t="n">
        <f aca="false">W30+W36</f>
        <v>1056.20039075456</v>
      </c>
      <c r="X38" s="27" t="n">
        <f aca="false">X30+X36</f>
        <v>1123.63487176832</v>
      </c>
      <c r="Y38" s="27" t="n">
        <f aca="false">Y30+Y36</f>
        <v>1191.06935278208</v>
      </c>
      <c r="Z38" s="27" t="n">
        <f aca="false">SUM(B38:Y38)</f>
        <v>10227.0442826304</v>
      </c>
    </row>
    <row r="39" customFormat="false" ht="15" hidden="false" customHeight="false" outlineLevel="0" collapsed="false">
      <c r="A39" s="5" t="s">
        <v>153</v>
      </c>
      <c r="B39" s="28" t="n">
        <f aca="false">-MAX(0,B38)*0.3*Hypotheses!$B$36</f>
        <v>-0</v>
      </c>
      <c r="C39" s="28" t="n">
        <f aca="false">-MAX(0,C38)*0.3*Hypotheses!$B$36</f>
        <v>-0</v>
      </c>
      <c r="D39" s="28" t="n">
        <f aca="false">-MAX(0,D38)*0.3*Hypotheses!$B$36</f>
        <v>-0</v>
      </c>
      <c r="E39" s="28" t="n">
        <f aca="false">-MAX(0,E38)*0.3*Hypotheses!$B$36</f>
        <v>-0</v>
      </c>
      <c r="F39" s="28" t="n">
        <f aca="false">-MAX(0,F38)*0.3*Hypotheses!$B$36</f>
        <v>-0</v>
      </c>
      <c r="G39" s="28" t="n">
        <f aca="false">-MAX(0,G38)*0.3*Hypotheses!$B$36</f>
        <v>-0</v>
      </c>
      <c r="H39" s="28" t="n">
        <f aca="false">-MAX(0,H38)*0.3*Hypotheses!$B$36</f>
        <v>-2.74801529621184</v>
      </c>
      <c r="I39" s="28" t="n">
        <f aca="false">-MAX(0,I38)*0.3*Hypotheses!$B$36</f>
        <v>-6.89523587855808</v>
      </c>
      <c r="J39" s="28" t="n">
        <f aca="false">-MAX(0,J38)*0.3*Hypotheses!$B$36</f>
        <v>-11.0424564609043</v>
      </c>
      <c r="K39" s="28" t="n">
        <f aca="false">-MAX(0,K38)*0.3*Hypotheses!$B$36</f>
        <v>-15.1896770432506</v>
      </c>
      <c r="L39" s="28" t="n">
        <f aca="false">-MAX(0,L38)*0.3*Hypotheses!$B$36</f>
        <v>-19.3368976255968</v>
      </c>
      <c r="M39" s="28" t="n">
        <f aca="false">-MAX(0,M38)*0.3*Hypotheses!$B$36</f>
        <v>-23.484118207943</v>
      </c>
      <c r="N39" s="28" t="n">
        <f aca="false">-MAX(0,N38)*0.3*Hypotheses!$B$36</f>
        <v>-27.6313387902893</v>
      </c>
      <c r="O39" s="28" t="n">
        <f aca="false">-MAX(0,O38)*0.3*Hypotheses!$B$36</f>
        <v>-31.7785593726355</v>
      </c>
      <c r="P39" s="28" t="n">
        <f aca="false">-MAX(0,P38)*0.3*Hypotheses!$B$36</f>
        <v>-35.9257799549818</v>
      </c>
      <c r="Q39" s="28" t="n">
        <f aca="false">-MAX(0,Q38)*0.3*Hypotheses!$B$36</f>
        <v>-40.073000537328</v>
      </c>
      <c r="R39" s="28" t="n">
        <f aca="false">-MAX(0,R38)*0.3*Hypotheses!$B$36</f>
        <v>-44.2202211196742</v>
      </c>
      <c r="S39" s="28" t="n">
        <f aca="false">-MAX(0,S38)*0.3*Hypotheses!$B$36</f>
        <v>-48.3674417020205</v>
      </c>
      <c r="T39" s="28" t="n">
        <f aca="false">-MAX(0,T38)*0.3*Hypotheses!$B$36</f>
        <v>-52.5146622843667</v>
      </c>
      <c r="U39" s="28" t="n">
        <f aca="false">-MAX(0,U38)*0.3*Hypotheses!$B$36</f>
        <v>-56.661882866713</v>
      </c>
      <c r="V39" s="28" t="n">
        <f aca="false">-MAX(0,V38)*0.3*Hypotheses!$B$36</f>
        <v>-60.8091034490592</v>
      </c>
      <c r="W39" s="28" t="n">
        <f aca="false">-MAX(0,W38)*0.3*Hypotheses!$B$36</f>
        <v>-64.9563240314054</v>
      </c>
      <c r="X39" s="28" t="n">
        <f aca="false">-MAX(0,X38)*0.3*Hypotheses!$B$36</f>
        <v>-69.1035446137517</v>
      </c>
      <c r="Y39" s="28" t="n">
        <f aca="false">-MAX(0,Y38)*0.3*Hypotheses!$B$36</f>
        <v>-73.2507651960979</v>
      </c>
      <c r="Z39" s="29" t="n">
        <f aca="false">SUM(B39:Y39)</f>
        <v>-683.989024430788</v>
      </c>
    </row>
    <row r="40" customFormat="false" ht="15" hidden="false" customHeight="false" outlineLevel="0" collapsed="false">
      <c r="A40" s="5" t="s">
        <v>154</v>
      </c>
      <c r="B40" s="28" t="n">
        <f aca="false">-MAX(0,B38+B39)*Hypotheses!$B$34</f>
        <v>-0</v>
      </c>
      <c r="C40" s="28" t="n">
        <f aca="false">-MAX(0,C38+C39)*Hypotheses!$B$34</f>
        <v>-0</v>
      </c>
      <c r="D40" s="28" t="n">
        <f aca="false">-MAX(0,D38+D39)*Hypotheses!$B$34</f>
        <v>-0</v>
      </c>
      <c r="E40" s="28" t="n">
        <f aca="false">-MAX(0,E38+E39)*Hypotheses!$B$34</f>
        <v>-0</v>
      </c>
      <c r="F40" s="28" t="n">
        <f aca="false">-MAX(0,F38+F39)*Hypotheses!$B$34</f>
        <v>-0</v>
      </c>
      <c r="G40" s="28" t="n">
        <f aca="false">-MAX(0,G38+G39)*Hypotheses!$B$34</f>
        <v>-0</v>
      </c>
      <c r="H40" s="28" t="n">
        <f aca="false">-MAX(0,H38+H39)*Hypotheses!$B$34</f>
        <v>-8.38703205038962</v>
      </c>
      <c r="I40" s="28" t="n">
        <f aca="false">-MAX(0,I38+I39)*Hypotheses!$B$34</f>
        <v>-21.0444841366724</v>
      </c>
      <c r="J40" s="28" t="n">
        <f aca="false">-MAX(0,J38+J39)*Hypotheses!$B$34</f>
        <v>-33.7019362229552</v>
      </c>
      <c r="K40" s="28" t="n">
        <f aca="false">-MAX(0,K38+K39)*Hypotheses!$B$34</f>
        <v>-46.3593883092379</v>
      </c>
      <c r="L40" s="28" t="n">
        <f aca="false">-MAX(0,L38+L39)*Hypotheses!$B$34</f>
        <v>-59.0168403955206</v>
      </c>
      <c r="M40" s="28" t="n">
        <f aca="false">-MAX(0,M38+M39)*Hypotheses!$B$34</f>
        <v>-71.6742924818034</v>
      </c>
      <c r="N40" s="28" t="n">
        <f aca="false">-MAX(0,N38+N39)*Hypotheses!$B$34</f>
        <v>-84.3317445680862</v>
      </c>
      <c r="O40" s="28" t="n">
        <f aca="false">-MAX(0,O38+O39)*Hypotheses!$B$34</f>
        <v>-96.9891966543689</v>
      </c>
      <c r="P40" s="28" t="n">
        <f aca="false">-MAX(0,P38+P39)*Hypotheses!$B$34</f>
        <v>-109.646648740652</v>
      </c>
      <c r="Q40" s="28" t="n">
        <f aca="false">-MAX(0,Q38+Q39)*Hypotheses!$B$34</f>
        <v>-122.304100826934</v>
      </c>
      <c r="R40" s="28" t="n">
        <f aca="false">-MAX(0,R38+R39)*Hypotheses!$B$34</f>
        <v>-134.961552913217</v>
      </c>
      <c r="S40" s="28" t="n">
        <f aca="false">-MAX(0,S38+S39)*Hypotheses!$B$34</f>
        <v>-147.6190049995</v>
      </c>
      <c r="T40" s="28" t="n">
        <f aca="false">-MAX(0,T38+T39)*Hypotheses!$B$34</f>
        <v>-160.276457085783</v>
      </c>
      <c r="U40" s="28" t="n">
        <f aca="false">-MAX(0,U38+U39)*Hypotheses!$B$34</f>
        <v>-172.933909172065</v>
      </c>
      <c r="V40" s="28" t="n">
        <f aca="false">-MAX(0,V38+V39)*Hypotheses!$B$34</f>
        <v>-185.591361258348</v>
      </c>
      <c r="W40" s="28" t="n">
        <f aca="false">-MAX(0,W38+W39)*Hypotheses!$B$34</f>
        <v>-198.248813344631</v>
      </c>
      <c r="X40" s="28" t="n">
        <f aca="false">-MAX(0,X38+X39)*Hypotheses!$B$34</f>
        <v>-210.906265430914</v>
      </c>
      <c r="Y40" s="28" t="n">
        <f aca="false">-MAX(0,Y38+Y39)*Hypotheses!$B$34</f>
        <v>-223.563717517196</v>
      </c>
      <c r="Z40" s="29" t="n">
        <f aca="false">SUM(B40:Y40)</f>
        <v>-2087.55674610827</v>
      </c>
    </row>
    <row r="41" customFormat="false" ht="15" hidden="false" customHeight="false" outlineLevel="0" collapsed="false">
      <c r="A41" s="5"/>
    </row>
    <row r="42" customFormat="false" ht="15" hidden="false" customHeight="false" outlineLevel="0" collapsed="false">
      <c r="A42" s="21" t="s">
        <v>155</v>
      </c>
      <c r="B42" s="27" t="n">
        <f aca="false">B38+B39+B40</f>
        <v>-214.73056</v>
      </c>
      <c r="C42" s="27" t="n">
        <f aca="false">C38+C39+C40</f>
        <v>-176.72536</v>
      </c>
      <c r="D42" s="27" t="n">
        <f aca="false">D38+D39+D40</f>
        <v>-138.72016</v>
      </c>
      <c r="E42" s="27" t="n">
        <f aca="false">E38+E39+E40</f>
        <v>-170.3993183104</v>
      </c>
      <c r="F42" s="27" t="n">
        <f aca="false">F38+F39+F40</f>
        <v>-154.2965149312</v>
      </c>
      <c r="G42" s="27" t="n">
        <f aca="false">G38+G39+G40</f>
        <v>-39.85655910016</v>
      </c>
      <c r="H42" s="27" t="n">
        <f aca="false">H38+H39+H40</f>
        <v>33.5481282015585</v>
      </c>
      <c r="I42" s="27" t="n">
        <f aca="false">I38+I39+I40</f>
        <v>84.1779365466895</v>
      </c>
      <c r="J42" s="27" t="n">
        <f aca="false">J38+J39+J40</f>
        <v>134.807744891821</v>
      </c>
      <c r="K42" s="27" t="n">
        <f aca="false">K38+K39+K40</f>
        <v>185.437553236952</v>
      </c>
      <c r="L42" s="27" t="n">
        <f aca="false">L38+L39+L40</f>
        <v>236.067361582083</v>
      </c>
      <c r="M42" s="27" t="n">
        <f aca="false">M38+M39+M40</f>
        <v>286.697169927214</v>
      </c>
      <c r="N42" s="27" t="n">
        <f aca="false">N38+N39+N40</f>
        <v>337.326978272345</v>
      </c>
      <c r="O42" s="27" t="n">
        <f aca="false">O38+O39+O40</f>
        <v>387.956786617476</v>
      </c>
      <c r="P42" s="27" t="n">
        <f aca="false">P38+P39+P40</f>
        <v>438.586594962607</v>
      </c>
      <c r="Q42" s="27" t="n">
        <f aca="false">Q38+Q39+Q40</f>
        <v>489.216403307738</v>
      </c>
      <c r="R42" s="27" t="n">
        <f aca="false">R38+R39+R40</f>
        <v>539.846211652869</v>
      </c>
      <c r="S42" s="27" t="n">
        <f aca="false">S38+S39+S40</f>
        <v>590.476019998</v>
      </c>
      <c r="T42" s="27" t="n">
        <f aca="false">T38+T39+T40</f>
        <v>641.105828343131</v>
      </c>
      <c r="U42" s="27" t="n">
        <f aca="false">U38+U39+U40</f>
        <v>691.735636688262</v>
      </c>
      <c r="V42" s="27" t="n">
        <f aca="false">V38+V39+V40</f>
        <v>742.365445033393</v>
      </c>
      <c r="W42" s="27" t="n">
        <f aca="false">W38+W39+W40</f>
        <v>792.995253378524</v>
      </c>
      <c r="X42" s="27" t="n">
        <f aca="false">X38+X39+X40</f>
        <v>843.625061723654</v>
      </c>
      <c r="Y42" s="27" t="n">
        <f aca="false">Y38+Y39+Y40</f>
        <v>894.254870068785</v>
      </c>
      <c r="Z42" s="27" t="n">
        <f aca="false">SUM(B42:Y42)</f>
        <v>7455.49851209134</v>
      </c>
    </row>
    <row r="43" customFormat="false" ht="15" hidden="false" customHeight="false" outlineLevel="0" collapsed="false">
      <c r="A43" s="3" t="s">
        <v>156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" hidden="false" customHeight="false" outlineLevel="0" collapsed="false">
      <c r="A44" s="5" t="s">
        <v>157</v>
      </c>
      <c r="B44" s="28" t="n">
        <f aca="false">SUM(B15)</f>
        <v>23.8464</v>
      </c>
      <c r="C44" s="28" t="n">
        <f aca="false">SUM(B15:C15)</f>
        <v>92.4048</v>
      </c>
      <c r="D44" s="28" t="n">
        <f aca="false">SUM(B15:D15)</f>
        <v>205.6752</v>
      </c>
      <c r="E44" s="28" t="n">
        <f aca="false">SUM(B15:E15)</f>
        <v>422.852472576</v>
      </c>
      <c r="F44" s="28" t="n">
        <f aca="false">SUM(B15:F15)</f>
        <v>800.150690304</v>
      </c>
      <c r="G44" s="28" t="n">
        <f aca="false">SUM(B15:G15)</f>
        <v>1337.569853184</v>
      </c>
      <c r="H44" s="28" t="n">
        <f aca="false">SUM(B15:H15)</f>
        <v>2035.109961216</v>
      </c>
      <c r="I44" s="28" t="n">
        <f aca="false">SUM(B15:I15)</f>
        <v>2892.7710144</v>
      </c>
      <c r="J44" s="28" t="n">
        <f aca="false">SUM(B15:J15)</f>
        <v>3910.553012736</v>
      </c>
      <c r="K44" s="28" t="n">
        <f aca="false">SUM(B15:K15)</f>
        <v>5088.455956224</v>
      </c>
      <c r="L44" s="28" t="n">
        <f aca="false">SUM(B15:L15)</f>
        <v>6426.479844864</v>
      </c>
      <c r="M44" s="28" t="n">
        <f aca="false">SUM(B15:M15)</f>
        <v>7924.624678656</v>
      </c>
      <c r="N44" s="28" t="n">
        <f aca="false">SUM(C15:N15)</f>
        <v>9559.0440576</v>
      </c>
      <c r="O44" s="28" t="n">
        <f aca="false">SUM(D15:O15)</f>
        <v>11308.872381696</v>
      </c>
      <c r="P44" s="28" t="n">
        <f aca="false">SUM(E15:P15)</f>
        <v>13174.109650944</v>
      </c>
      <c r="Q44" s="28" t="n">
        <f aca="false">SUM(F15:Q15)</f>
        <v>15095.560992768</v>
      </c>
      <c r="R44" s="28" t="n">
        <f aca="false">SUM(G15:R15)</f>
        <v>17017.012334592</v>
      </c>
      <c r="S44" s="28" t="n">
        <f aca="false">SUM(H15:S15)</f>
        <v>18938.463676416</v>
      </c>
      <c r="T44" s="28" t="n">
        <f aca="false">SUM(I15:T15)</f>
        <v>20859.91501824</v>
      </c>
      <c r="U44" s="28" t="n">
        <f aca="false">SUM(J15:U15)</f>
        <v>22781.366360064</v>
      </c>
      <c r="V44" s="28" t="n">
        <f aca="false">SUM(K15:V15)</f>
        <v>24702.817701888</v>
      </c>
      <c r="W44" s="28" t="n">
        <f aca="false">SUM(L15:W15)</f>
        <v>26624.269043712</v>
      </c>
      <c r="X44" s="28" t="n">
        <f aca="false">SUM(M15:X15)</f>
        <v>28545.720385536</v>
      </c>
      <c r="Y44" s="28" t="n">
        <f aca="false">SUM(N15:Y15)</f>
        <v>30467.17172736</v>
      </c>
      <c r="Z44" s="2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7" min="2" style="0" width="11"/>
  </cols>
  <sheetData>
    <row r="1" customFormat="false" ht="17.35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">
        <v>160</v>
      </c>
    </row>
    <row r="4" customFormat="false" ht="15" hidden="false" customHeight="false" outlineLevel="0" collapsed="false">
      <c r="A4" s="17" t="s">
        <v>93</v>
      </c>
      <c r="B4" s="18" t="s">
        <v>94</v>
      </c>
      <c r="C4" s="18" t="s">
        <v>95</v>
      </c>
      <c r="D4" s="18" t="s">
        <v>96</v>
      </c>
      <c r="E4" s="18" t="s">
        <v>97</v>
      </c>
      <c r="F4" s="18" t="s">
        <v>98</v>
      </c>
      <c r="G4" s="18" t="s">
        <v>99</v>
      </c>
      <c r="H4" s="18" t="s">
        <v>100</v>
      </c>
      <c r="I4" s="18" t="s">
        <v>101</v>
      </c>
      <c r="J4" s="18" t="s">
        <v>102</v>
      </c>
      <c r="K4" s="18" t="s">
        <v>103</v>
      </c>
      <c r="L4" s="18" t="s">
        <v>104</v>
      </c>
      <c r="M4" s="18" t="s">
        <v>105</v>
      </c>
      <c r="N4" s="18" t="s">
        <v>106</v>
      </c>
      <c r="O4" s="18" t="s">
        <v>107</v>
      </c>
      <c r="P4" s="18" t="s">
        <v>108</v>
      </c>
      <c r="Q4" s="18" t="s">
        <v>109</v>
      </c>
      <c r="R4" s="18" t="s">
        <v>110</v>
      </c>
      <c r="S4" s="18" t="s">
        <v>111</v>
      </c>
      <c r="T4" s="18" t="s">
        <v>112</v>
      </c>
      <c r="U4" s="18" t="s">
        <v>113</v>
      </c>
      <c r="V4" s="18" t="s">
        <v>114</v>
      </c>
      <c r="W4" s="18" t="s">
        <v>115</v>
      </c>
      <c r="X4" s="18" t="s">
        <v>116</v>
      </c>
      <c r="Y4" s="18" t="s">
        <v>117</v>
      </c>
      <c r="Z4" s="18" t="s">
        <v>118</v>
      </c>
    </row>
    <row r="5" customFormat="false" ht="15" hidden="false" customHeight="false" outlineLevel="0" collapsed="false">
      <c r="A5" s="3" t="s">
        <v>161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" hidden="false" customHeight="false" outlineLevel="0" collapsed="false">
      <c r="A6" s="5" t="s">
        <v>162</v>
      </c>
      <c r="B6" s="30" t="n">
        <f aca="false">0</f>
        <v>0</v>
      </c>
      <c r="C6" s="30" t="n">
        <f aca="false">PL_24mois!B15</f>
        <v>23.8464</v>
      </c>
      <c r="D6" s="30" t="n">
        <f aca="false">PL_24mois!C15</f>
        <v>68.5584</v>
      </c>
      <c r="E6" s="30" t="n">
        <f aca="false">PL_24mois!D15</f>
        <v>113.2704</v>
      </c>
      <c r="F6" s="30" t="n">
        <f aca="false">PL_24mois!E15</f>
        <v>217.177272576</v>
      </c>
      <c r="G6" s="30" t="n">
        <f aca="false">PL_24mois!F15</f>
        <v>377.298217728</v>
      </c>
      <c r="H6" s="30" t="n">
        <f aca="false">PL_24mois!G15</f>
        <v>537.41916288</v>
      </c>
      <c r="I6" s="30" t="n">
        <f aca="false">PL_24mois!H15</f>
        <v>697.540108032</v>
      </c>
      <c r="J6" s="30" t="n">
        <f aca="false">PL_24mois!I15</f>
        <v>857.661053184</v>
      </c>
      <c r="K6" s="30" t="n">
        <f aca="false">PL_24mois!J15</f>
        <v>1017.781998336</v>
      </c>
      <c r="L6" s="30" t="n">
        <f aca="false">PL_24mois!K15</f>
        <v>1177.902943488</v>
      </c>
      <c r="M6" s="30" t="n">
        <f aca="false">PL_24mois!L15</f>
        <v>1338.02388864</v>
      </c>
      <c r="N6" s="30" t="n">
        <f aca="false">PL_24mois!M15</f>
        <v>1498.144833792</v>
      </c>
      <c r="O6" s="30" t="n">
        <f aca="false">PL_24mois!N15</f>
        <v>1658.265778944</v>
      </c>
      <c r="P6" s="30" t="n">
        <f aca="false">PL_24mois!O15</f>
        <v>1818.386724096</v>
      </c>
      <c r="Q6" s="30" t="n">
        <f aca="false">PL_24mois!P15</f>
        <v>1978.507669248</v>
      </c>
      <c r="R6" s="30" t="n">
        <f aca="false">PL_24mois!Q15</f>
        <v>2138.6286144</v>
      </c>
      <c r="S6" s="30" t="n">
        <f aca="false">PL_24mois!R15</f>
        <v>2298.749559552</v>
      </c>
      <c r="T6" s="30" t="n">
        <f aca="false">PL_24mois!S15</f>
        <v>2458.870504704</v>
      </c>
      <c r="U6" s="30" t="n">
        <f aca="false">PL_24mois!T15</f>
        <v>2618.991449856</v>
      </c>
      <c r="V6" s="30" t="n">
        <f aca="false">PL_24mois!U15</f>
        <v>2779.112395008</v>
      </c>
      <c r="W6" s="30" t="n">
        <f aca="false">PL_24mois!V15</f>
        <v>2939.23334016</v>
      </c>
      <c r="X6" s="30" t="n">
        <f aca="false">PL_24mois!W15</f>
        <v>3099.354285312</v>
      </c>
      <c r="Y6" s="30" t="n">
        <f aca="false">PL_24mois!X15</f>
        <v>3259.475230464</v>
      </c>
      <c r="Z6" s="29" t="n">
        <f aca="false">SUM(B6:Y6)</f>
        <v>34972.2002304</v>
      </c>
    </row>
    <row r="7" customFormat="false" ht="15" hidden="false" customHeight="false" outlineLevel="0" collapsed="false">
      <c r="A7" s="3" t="s">
        <v>163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" hidden="false" customHeight="false" outlineLevel="0" collapsed="false">
      <c r="A8" s="5" t="s">
        <v>164</v>
      </c>
      <c r="B8" s="28" t="n">
        <f aca="false">-B6*Hypotheses!$B$8</f>
        <v>-0</v>
      </c>
      <c r="C8" s="28" t="n">
        <f aca="false">-C6*Hypotheses!$B$8</f>
        <v>-3.57696</v>
      </c>
      <c r="D8" s="28" t="n">
        <f aca="false">-D6*Hypotheses!$B$8</f>
        <v>-10.28376</v>
      </c>
      <c r="E8" s="28" t="n">
        <f aca="false">-E6*Hypotheses!$B$8</f>
        <v>-16.99056</v>
      </c>
      <c r="F8" s="28" t="n">
        <f aca="false">-F6*Hypotheses!$B$8</f>
        <v>-32.5765908864</v>
      </c>
      <c r="G8" s="28" t="n">
        <f aca="false">-G6*Hypotheses!$B$8</f>
        <v>-56.5947326592</v>
      </c>
      <c r="H8" s="28" t="n">
        <f aca="false">-H6*Hypotheses!$B$8</f>
        <v>-80.612874432</v>
      </c>
      <c r="I8" s="28" t="n">
        <f aca="false">-I6*Hypotheses!$B$8</f>
        <v>-104.6310162048</v>
      </c>
      <c r="J8" s="28" t="n">
        <f aca="false">-J6*Hypotheses!$B$8</f>
        <v>-128.6491579776</v>
      </c>
      <c r="K8" s="28" t="n">
        <f aca="false">-K6*Hypotheses!$B$8</f>
        <v>-152.6672997504</v>
      </c>
      <c r="L8" s="28" t="n">
        <f aca="false">-L6*Hypotheses!$B$8</f>
        <v>-176.6854415232</v>
      </c>
      <c r="M8" s="28" t="n">
        <f aca="false">-M6*Hypotheses!$B$8</f>
        <v>-200.703583296</v>
      </c>
      <c r="N8" s="28" t="n">
        <f aca="false">-N6*Hypotheses!$B$8</f>
        <v>-224.7217250688</v>
      </c>
      <c r="O8" s="28" t="n">
        <f aca="false">-O6*Hypotheses!$B$8</f>
        <v>-248.7398668416</v>
      </c>
      <c r="P8" s="28" t="n">
        <f aca="false">-P6*Hypotheses!$B$8</f>
        <v>-272.7580086144</v>
      </c>
      <c r="Q8" s="28" t="n">
        <f aca="false">-Q6*Hypotheses!$B$8</f>
        <v>-296.7761503872</v>
      </c>
      <c r="R8" s="28" t="n">
        <f aca="false">-R6*Hypotheses!$B$8</f>
        <v>-320.79429216</v>
      </c>
      <c r="S8" s="28" t="n">
        <f aca="false">-S6*Hypotheses!$B$8</f>
        <v>-344.8124339328</v>
      </c>
      <c r="T8" s="28" t="n">
        <f aca="false">-T6*Hypotheses!$B$8</f>
        <v>-368.8305757056</v>
      </c>
      <c r="U8" s="28" t="n">
        <f aca="false">-U6*Hypotheses!$B$8</f>
        <v>-392.8487174784</v>
      </c>
      <c r="V8" s="28" t="n">
        <f aca="false">-V6*Hypotheses!$B$8</f>
        <v>-416.8668592512</v>
      </c>
      <c r="W8" s="28" t="n">
        <f aca="false">-W6*Hypotheses!$B$8</f>
        <v>-440.885001024</v>
      </c>
      <c r="X8" s="28" t="n">
        <f aca="false">-X6*Hypotheses!$B$8</f>
        <v>-464.9031427968</v>
      </c>
      <c r="Y8" s="28" t="n">
        <f aca="false">-Y6*Hypotheses!$B$8</f>
        <v>-488.9212845696</v>
      </c>
      <c r="Z8" s="29" t="n">
        <f aca="false">SUM(B8:Y8)</f>
        <v>-5245.83003456</v>
      </c>
    </row>
    <row r="9" customFormat="false" ht="15" hidden="false" customHeight="false" outlineLevel="0" collapsed="false">
      <c r="A9" s="5" t="s">
        <v>165</v>
      </c>
      <c r="B9" s="30" t="n">
        <f aca="false">PL_24mois!B23</f>
        <v>-80</v>
      </c>
      <c r="C9" s="30" t="n">
        <f aca="false">PL_24mois!C23</f>
        <v>-80</v>
      </c>
      <c r="D9" s="30" t="n">
        <f aca="false">PL_24mois!D23</f>
        <v>-80</v>
      </c>
      <c r="E9" s="30" t="n">
        <f aca="false">PL_24mois!E23</f>
        <v>-200</v>
      </c>
      <c r="F9" s="30" t="n">
        <f aca="false">PL_24mois!F23</f>
        <v>-320</v>
      </c>
      <c r="G9" s="30" t="n">
        <f aca="false">PL_24mois!G23</f>
        <v>-320</v>
      </c>
      <c r="H9" s="30" t="n">
        <f aca="false">PL_24mois!H23</f>
        <v>-320</v>
      </c>
      <c r="I9" s="30" t="n">
        <f aca="false">PL_24mois!I23</f>
        <v>-320</v>
      </c>
      <c r="J9" s="30" t="n">
        <f aca="false">PL_24mois!J23</f>
        <v>-320</v>
      </c>
      <c r="K9" s="30" t="n">
        <f aca="false">PL_24mois!K23</f>
        <v>-320</v>
      </c>
      <c r="L9" s="30" t="n">
        <f aca="false">PL_24mois!L23</f>
        <v>-320</v>
      </c>
      <c r="M9" s="30" t="n">
        <f aca="false">PL_24mois!M23</f>
        <v>-320</v>
      </c>
      <c r="N9" s="30" t="n">
        <f aca="false">PL_24mois!N23</f>
        <v>-320</v>
      </c>
      <c r="O9" s="30" t="n">
        <f aca="false">PL_24mois!O23</f>
        <v>-320</v>
      </c>
      <c r="P9" s="30" t="n">
        <f aca="false">PL_24mois!P23</f>
        <v>-320</v>
      </c>
      <c r="Q9" s="30" t="n">
        <f aca="false">PL_24mois!Q23</f>
        <v>-320</v>
      </c>
      <c r="R9" s="30" t="n">
        <f aca="false">PL_24mois!R23</f>
        <v>-320</v>
      </c>
      <c r="S9" s="30" t="n">
        <f aca="false">PL_24mois!S23</f>
        <v>-320</v>
      </c>
      <c r="T9" s="30" t="n">
        <f aca="false">PL_24mois!T23</f>
        <v>-320</v>
      </c>
      <c r="U9" s="30" t="n">
        <f aca="false">PL_24mois!U23</f>
        <v>-320</v>
      </c>
      <c r="V9" s="30" t="n">
        <f aca="false">PL_24mois!V23</f>
        <v>-320</v>
      </c>
      <c r="W9" s="30" t="n">
        <f aca="false">PL_24mois!W23</f>
        <v>-320</v>
      </c>
      <c r="X9" s="30" t="n">
        <f aca="false">PL_24mois!X23</f>
        <v>-320</v>
      </c>
      <c r="Y9" s="30" t="n">
        <f aca="false">PL_24mois!Y23</f>
        <v>-320</v>
      </c>
      <c r="Z9" s="29" t="n">
        <f aca="false">SUM(B9:Y9)</f>
        <v>-6840</v>
      </c>
    </row>
    <row r="10" customFormat="false" ht="15" hidden="false" customHeight="false" outlineLevel="0" collapsed="false">
      <c r="A10" s="5" t="s">
        <v>166</v>
      </c>
      <c r="B10" s="30" t="n">
        <f aca="false">0</f>
        <v>0</v>
      </c>
      <c r="C10" s="30" t="n">
        <f aca="false">PL_24mois!B27+PL_24mois!B28</f>
        <v>-0</v>
      </c>
      <c r="D10" s="30" t="n">
        <f aca="false">PL_24mois!C27+PL_24mois!C28</f>
        <v>-0</v>
      </c>
      <c r="E10" s="30" t="n">
        <f aca="false">PL_24mois!D27+PL_24mois!D28</f>
        <v>-0</v>
      </c>
      <c r="F10" s="30" t="n">
        <f aca="false">PL_24mois!E27+PL_24mois!E28</f>
        <v>-0</v>
      </c>
      <c r="G10" s="30" t="n">
        <f aca="false">PL_24mois!F27+PL_24mois!F28</f>
        <v>-0</v>
      </c>
      <c r="H10" s="30" t="n">
        <f aca="false">PL_24mois!G27+PL_24mois!G28</f>
        <v>-21.66284754816</v>
      </c>
      <c r="I10" s="30" t="n">
        <f aca="false">PL_24mois!H27+PL_24mois!H28</f>
        <v>-73.22591627904</v>
      </c>
      <c r="J10" s="30" t="n">
        <f aca="false">PL_24mois!I27+PL_24mois!I28</f>
        <v>-141.89423864448</v>
      </c>
      <c r="K10" s="30" t="n">
        <f aca="false">PL_24mois!J27+PL_24mois!J28</f>
        <v>-210.56256100992</v>
      </c>
      <c r="L10" s="30" t="n">
        <f aca="false">PL_24mois!K27+PL_24mois!K28</f>
        <v>-279.23088337536</v>
      </c>
      <c r="M10" s="30" t="n">
        <f aca="false">PL_24mois!L27+PL_24mois!L28</f>
        <v>-347.8992057408</v>
      </c>
      <c r="N10" s="30" t="n">
        <f aca="false">PL_24mois!M27+PL_24mois!M28</f>
        <v>-416.56752810624</v>
      </c>
      <c r="O10" s="30" t="n">
        <f aca="false">PL_24mois!N27+PL_24mois!N28</f>
        <v>-485.23585047168</v>
      </c>
      <c r="P10" s="30" t="n">
        <f aca="false">PL_24mois!O27+PL_24mois!O28</f>
        <v>-553.90417283712</v>
      </c>
      <c r="Q10" s="30" t="n">
        <f aca="false">PL_24mois!P27+PL_24mois!P28</f>
        <v>-622.57249520256</v>
      </c>
      <c r="R10" s="30" t="n">
        <f aca="false">PL_24mois!Q27+PL_24mois!Q28</f>
        <v>-691.240817568</v>
      </c>
      <c r="S10" s="30" t="n">
        <f aca="false">PL_24mois!R27+PL_24mois!R28</f>
        <v>-759.90913993344</v>
      </c>
      <c r="T10" s="30" t="n">
        <f aca="false">PL_24mois!S27+PL_24mois!S28</f>
        <v>-828.57746229888</v>
      </c>
      <c r="U10" s="30" t="n">
        <f aca="false">PL_24mois!T27+PL_24mois!T28</f>
        <v>-897.24578466432</v>
      </c>
      <c r="V10" s="30" t="n">
        <f aca="false">PL_24mois!U27+PL_24mois!U28</f>
        <v>-965.91410702976</v>
      </c>
      <c r="W10" s="30" t="n">
        <f aca="false">PL_24mois!V27+PL_24mois!V28</f>
        <v>-1034.5824293952</v>
      </c>
      <c r="X10" s="30" t="n">
        <f aca="false">PL_24mois!W27+PL_24mois!W28</f>
        <v>-1103.25075176064</v>
      </c>
      <c r="Y10" s="30" t="n">
        <f aca="false">PL_24mois!X27+PL_24mois!X28</f>
        <v>-1171.91907412608</v>
      </c>
      <c r="Z10" s="29" t="n">
        <f aca="false">SUM(B10:Y10)</f>
        <v>-10605.3952659917</v>
      </c>
    </row>
    <row r="11" customFormat="false" ht="15" hidden="false" customHeight="false" outlineLevel="0" collapsed="false">
      <c r="A11" s="5" t="s">
        <v>167</v>
      </c>
      <c r="B11" s="30" t="n">
        <f aca="false">PL_24mois!B36</f>
        <v>-155</v>
      </c>
      <c r="C11" s="30" t="n">
        <f aca="false">PL_24mois!C36</f>
        <v>-155</v>
      </c>
      <c r="D11" s="30" t="n">
        <f aca="false">PL_24mois!D36</f>
        <v>-155</v>
      </c>
      <c r="E11" s="30" t="n">
        <f aca="false">PL_24mois!E36</f>
        <v>-155</v>
      </c>
      <c r="F11" s="30" t="n">
        <f aca="false">PL_24mois!F36</f>
        <v>-155</v>
      </c>
      <c r="G11" s="30" t="n">
        <f aca="false">PL_24mois!G36</f>
        <v>-155</v>
      </c>
      <c r="H11" s="30" t="n">
        <f aca="false">PL_24mois!H36</f>
        <v>-155</v>
      </c>
      <c r="I11" s="30" t="n">
        <f aca="false">PL_24mois!I36</f>
        <v>-155</v>
      </c>
      <c r="J11" s="30" t="n">
        <f aca="false">PL_24mois!J36</f>
        <v>-155</v>
      </c>
      <c r="K11" s="30" t="n">
        <f aca="false">PL_24mois!K36</f>
        <v>-155</v>
      </c>
      <c r="L11" s="30" t="n">
        <f aca="false">PL_24mois!L36</f>
        <v>-155</v>
      </c>
      <c r="M11" s="30" t="n">
        <f aca="false">PL_24mois!M36</f>
        <v>-155</v>
      </c>
      <c r="N11" s="30" t="n">
        <f aca="false">PL_24mois!N36</f>
        <v>-155</v>
      </c>
      <c r="O11" s="30" t="n">
        <f aca="false">PL_24mois!O36</f>
        <v>-155</v>
      </c>
      <c r="P11" s="30" t="n">
        <f aca="false">PL_24mois!P36</f>
        <v>-155</v>
      </c>
      <c r="Q11" s="30" t="n">
        <f aca="false">PL_24mois!Q36</f>
        <v>-155</v>
      </c>
      <c r="R11" s="30" t="n">
        <f aca="false">PL_24mois!R36</f>
        <v>-155</v>
      </c>
      <c r="S11" s="30" t="n">
        <f aca="false">PL_24mois!S36</f>
        <v>-155</v>
      </c>
      <c r="T11" s="30" t="n">
        <f aca="false">PL_24mois!T36</f>
        <v>-155</v>
      </c>
      <c r="U11" s="30" t="n">
        <f aca="false">PL_24mois!U36</f>
        <v>-155</v>
      </c>
      <c r="V11" s="30" t="n">
        <f aca="false">PL_24mois!V36</f>
        <v>-155</v>
      </c>
      <c r="W11" s="30" t="n">
        <f aca="false">PL_24mois!W36</f>
        <v>-155</v>
      </c>
      <c r="X11" s="30" t="n">
        <f aca="false">PL_24mois!X36</f>
        <v>-155</v>
      </c>
      <c r="Y11" s="30" t="n">
        <f aca="false">PL_24mois!Y36</f>
        <v>-155</v>
      </c>
      <c r="Z11" s="29" t="n">
        <f aca="false">SUM(B11:Y11)</f>
        <v>-3720</v>
      </c>
    </row>
    <row r="12" customFormat="false" ht="15" hidden="false" customHeight="false" outlineLevel="0" collapsed="false">
      <c r="A12" s="5" t="s">
        <v>168</v>
      </c>
      <c r="B12" s="30" t="n">
        <f aca="false">PL_24mois!B39</f>
        <v>-0</v>
      </c>
      <c r="C12" s="30" t="n">
        <f aca="false">PL_24mois!C39</f>
        <v>-0</v>
      </c>
      <c r="D12" s="30" t="n">
        <f aca="false">PL_24mois!D39</f>
        <v>-0</v>
      </c>
      <c r="E12" s="30" t="n">
        <f aca="false">PL_24mois!E39</f>
        <v>-0</v>
      </c>
      <c r="F12" s="30" t="n">
        <f aca="false">PL_24mois!F39</f>
        <v>-0</v>
      </c>
      <c r="G12" s="30" t="n">
        <f aca="false">PL_24mois!G39</f>
        <v>-0</v>
      </c>
      <c r="H12" s="30" t="n">
        <f aca="false">PL_24mois!H39</f>
        <v>-2.74801529621184</v>
      </c>
      <c r="I12" s="30" t="n">
        <f aca="false">PL_24mois!I39</f>
        <v>-6.89523587855808</v>
      </c>
      <c r="J12" s="30" t="n">
        <f aca="false">PL_24mois!J39</f>
        <v>-11.0424564609043</v>
      </c>
      <c r="K12" s="30" t="n">
        <f aca="false">PL_24mois!K39</f>
        <v>-15.1896770432506</v>
      </c>
      <c r="L12" s="30" t="n">
        <f aca="false">PL_24mois!L39</f>
        <v>-19.3368976255968</v>
      </c>
      <c r="M12" s="30" t="n">
        <f aca="false">PL_24mois!M39</f>
        <v>-23.484118207943</v>
      </c>
      <c r="N12" s="30" t="n">
        <f aca="false">PL_24mois!N39</f>
        <v>-27.6313387902893</v>
      </c>
      <c r="O12" s="30" t="n">
        <f aca="false">PL_24mois!O39</f>
        <v>-31.7785593726355</v>
      </c>
      <c r="P12" s="30" t="n">
        <f aca="false">PL_24mois!P39</f>
        <v>-35.9257799549818</v>
      </c>
      <c r="Q12" s="30" t="n">
        <f aca="false">PL_24mois!Q39</f>
        <v>-40.073000537328</v>
      </c>
      <c r="R12" s="30" t="n">
        <f aca="false">PL_24mois!R39</f>
        <v>-44.2202211196742</v>
      </c>
      <c r="S12" s="30" t="n">
        <f aca="false">PL_24mois!S39</f>
        <v>-48.3674417020205</v>
      </c>
      <c r="T12" s="30" t="n">
        <f aca="false">PL_24mois!T39</f>
        <v>-52.5146622843667</v>
      </c>
      <c r="U12" s="30" t="n">
        <f aca="false">PL_24mois!U39</f>
        <v>-56.661882866713</v>
      </c>
      <c r="V12" s="30" t="n">
        <f aca="false">PL_24mois!V39</f>
        <v>-60.8091034490592</v>
      </c>
      <c r="W12" s="30" t="n">
        <f aca="false">PL_24mois!W39</f>
        <v>-64.9563240314054</v>
      </c>
      <c r="X12" s="30" t="n">
        <f aca="false">PL_24mois!X39</f>
        <v>-69.1035446137517</v>
      </c>
      <c r="Y12" s="30" t="n">
        <f aca="false">PL_24mois!Y39</f>
        <v>-73.2507651960979</v>
      </c>
      <c r="Z12" s="29" t="n">
        <f aca="false">SUM(B12:Y12)</f>
        <v>-683.989024430788</v>
      </c>
    </row>
    <row r="13" customFormat="false" ht="15" hidden="false" customHeight="false" outlineLevel="0" collapsed="false">
      <c r="A13" s="5" t="s">
        <v>169</v>
      </c>
      <c r="B13" s="30" t="n">
        <f aca="false">PL_24mois!B40</f>
        <v>-0</v>
      </c>
      <c r="C13" s="30" t="n">
        <f aca="false">PL_24mois!C40</f>
        <v>-0</v>
      </c>
      <c r="D13" s="30" t="n">
        <f aca="false">PL_24mois!D40</f>
        <v>-0</v>
      </c>
      <c r="E13" s="30" t="n">
        <f aca="false">PL_24mois!E40</f>
        <v>-0</v>
      </c>
      <c r="F13" s="30" t="n">
        <f aca="false">PL_24mois!F40</f>
        <v>-0</v>
      </c>
      <c r="G13" s="30" t="n">
        <f aca="false">PL_24mois!G40</f>
        <v>-0</v>
      </c>
      <c r="H13" s="30" t="n">
        <f aca="false">PL_24mois!H40</f>
        <v>-8.38703205038962</v>
      </c>
      <c r="I13" s="30" t="n">
        <f aca="false">PL_24mois!I40</f>
        <v>-21.0444841366724</v>
      </c>
      <c r="J13" s="30" t="n">
        <f aca="false">PL_24mois!J40</f>
        <v>-33.7019362229552</v>
      </c>
      <c r="K13" s="30" t="n">
        <f aca="false">PL_24mois!K40</f>
        <v>-46.3593883092379</v>
      </c>
      <c r="L13" s="30" t="n">
        <f aca="false">PL_24mois!L40</f>
        <v>-59.0168403955206</v>
      </c>
      <c r="M13" s="30" t="n">
        <f aca="false">PL_24mois!M40</f>
        <v>-71.6742924818034</v>
      </c>
      <c r="N13" s="30" t="n">
        <f aca="false">PL_24mois!N40</f>
        <v>-84.3317445680862</v>
      </c>
      <c r="O13" s="30" t="n">
        <f aca="false">PL_24mois!O40</f>
        <v>-96.9891966543689</v>
      </c>
      <c r="P13" s="30" t="n">
        <f aca="false">PL_24mois!P40</f>
        <v>-109.646648740652</v>
      </c>
      <c r="Q13" s="30" t="n">
        <f aca="false">PL_24mois!Q40</f>
        <v>-122.304100826934</v>
      </c>
      <c r="R13" s="30" t="n">
        <f aca="false">PL_24mois!R40</f>
        <v>-134.961552913217</v>
      </c>
      <c r="S13" s="30" t="n">
        <f aca="false">PL_24mois!S40</f>
        <v>-147.6190049995</v>
      </c>
      <c r="T13" s="30" t="n">
        <f aca="false">PL_24mois!T40</f>
        <v>-160.276457085783</v>
      </c>
      <c r="U13" s="30" t="n">
        <f aca="false">PL_24mois!U40</f>
        <v>-172.933909172065</v>
      </c>
      <c r="V13" s="30" t="n">
        <f aca="false">PL_24mois!V40</f>
        <v>-185.591361258348</v>
      </c>
      <c r="W13" s="30" t="n">
        <f aca="false">PL_24mois!W40</f>
        <v>-198.248813344631</v>
      </c>
      <c r="X13" s="30" t="n">
        <f aca="false">PL_24mois!X40</f>
        <v>-210.906265430914</v>
      </c>
      <c r="Y13" s="30" t="n">
        <f aca="false">PL_24mois!Y40</f>
        <v>-223.563717517196</v>
      </c>
      <c r="Z13" s="29" t="n">
        <f aca="false">SUM(B13:Y13)</f>
        <v>-2087.55674610827</v>
      </c>
    </row>
    <row r="15" customFormat="false" ht="15" hidden="false" customHeight="false" outlineLevel="0" collapsed="false">
      <c r="A15" s="21" t="s">
        <v>170</v>
      </c>
      <c r="B15" s="27" t="n">
        <f aca="false">B6+B8+B9+B10+B11+B12+B13</f>
        <v>-235</v>
      </c>
      <c r="C15" s="27" t="n">
        <f aca="false">C6+C8+C9+C10+C11+C12+C13</f>
        <v>-214.73056</v>
      </c>
      <c r="D15" s="27" t="n">
        <f aca="false">D6+D8+D9+D10+D11+D12+D13</f>
        <v>-176.72536</v>
      </c>
      <c r="E15" s="27" t="n">
        <f aca="false">E6+E8+E9+E10+E11+E12+E13</f>
        <v>-258.72016</v>
      </c>
      <c r="F15" s="27" t="n">
        <f aca="false">F6+F8+F9+F10+F11+F12+F13</f>
        <v>-290.3993183104</v>
      </c>
      <c r="G15" s="27" t="n">
        <f aca="false">G6+G8+G9+G10+G11+G12+G13</f>
        <v>-154.2965149312</v>
      </c>
      <c r="H15" s="27" t="n">
        <f aca="false">H6+H8+H9+H10+H11+H12+H13</f>
        <v>-50.9916064467614</v>
      </c>
      <c r="I15" s="27" t="n">
        <f aca="false">I6+I8+I9+I10+I11+I12+I13</f>
        <v>16.7434555329295</v>
      </c>
      <c r="J15" s="27" t="n">
        <f aca="false">J6+J8+J9+J10+J11+J12+J13</f>
        <v>67.3732638780605</v>
      </c>
      <c r="K15" s="27" t="n">
        <f aca="false">K6+K8+K9+K10+K11+K12+K13</f>
        <v>118.003072223192</v>
      </c>
      <c r="L15" s="27" t="n">
        <f aca="false">L6+L8+L9+L10+L11+L12+L13</f>
        <v>168.632880568323</v>
      </c>
      <c r="M15" s="27" t="n">
        <f aca="false">M6+M8+M9+M10+M11+M12+M13</f>
        <v>219.262688913454</v>
      </c>
      <c r="N15" s="27" t="n">
        <f aca="false">N6+N8+N9+N10+N11+N12+N13</f>
        <v>269.892497258585</v>
      </c>
      <c r="O15" s="27" t="n">
        <f aca="false">O6+O8+O9+O10+O11+O12+O13</f>
        <v>320.522305603716</v>
      </c>
      <c r="P15" s="27" t="n">
        <f aca="false">P6+P8+P9+P10+P11+P12+P13</f>
        <v>371.152113948847</v>
      </c>
      <c r="Q15" s="27" t="n">
        <f aca="false">Q6+Q8+Q9+Q10+Q11+Q12+Q13</f>
        <v>421.781922293978</v>
      </c>
      <c r="R15" s="27" t="n">
        <f aca="false">R6+R8+R9+R10+R11+R12+R13</f>
        <v>472.411730639109</v>
      </c>
      <c r="S15" s="27" t="n">
        <f aca="false">S6+S8+S9+S10+S11+S12+S13</f>
        <v>523.04153898424</v>
      </c>
      <c r="T15" s="27" t="n">
        <f aca="false">T6+T8+T9+T10+T11+T12+T13</f>
        <v>573.671347329371</v>
      </c>
      <c r="U15" s="27" t="n">
        <f aca="false">U6+U8+U9+U10+U11+U12+U13</f>
        <v>624.301155674502</v>
      </c>
      <c r="V15" s="27" t="n">
        <f aca="false">V6+V8+V9+V10+V11+V12+V13</f>
        <v>674.930964019633</v>
      </c>
      <c r="W15" s="27" t="n">
        <f aca="false">W6+W8+W9+W10+W11+W12+W13</f>
        <v>725.560772364764</v>
      </c>
      <c r="X15" s="27" t="n">
        <f aca="false">X6+X8+X9+X10+X11+X12+X13</f>
        <v>776.190580709895</v>
      </c>
      <c r="Y15" s="27" t="n">
        <f aca="false">Y6+Y8+Y9+Y10+Y11+Y12+Y13</f>
        <v>826.820389055026</v>
      </c>
      <c r="Z15" s="27" t="n">
        <f aca="false">SUM(B15:Y15)</f>
        <v>5789.42915930926</v>
      </c>
    </row>
    <row r="16" customFormat="false" ht="15" hidden="false" customHeight="false" outlineLevel="0" collapsed="false">
      <c r="A16" s="3" t="s">
        <v>171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" hidden="false" customHeight="false" outlineLevel="0" collapsed="false">
      <c r="A17" s="21" t="s">
        <v>172</v>
      </c>
      <c r="B17" s="27" t="n">
        <f aca="false">Hypotheses!$B$28+B15</f>
        <v>1765</v>
      </c>
      <c r="C17" s="27" t="n">
        <f aca="false">B17+C15</f>
        <v>1550.26944</v>
      </c>
      <c r="D17" s="27" t="n">
        <f aca="false">C17+D15</f>
        <v>1373.54408</v>
      </c>
      <c r="E17" s="27" t="n">
        <f aca="false">D17+E15</f>
        <v>1114.82392</v>
      </c>
      <c r="F17" s="27" t="n">
        <f aca="false">E17+F15</f>
        <v>824.4246016896</v>
      </c>
      <c r="G17" s="27" t="n">
        <f aca="false">F17+G15</f>
        <v>670.1280867584</v>
      </c>
      <c r="H17" s="27" t="n">
        <f aca="false">G17+H15</f>
        <v>619.136480311639</v>
      </c>
      <c r="I17" s="27" t="n">
        <f aca="false">H17+I15</f>
        <v>635.879935844568</v>
      </c>
      <c r="J17" s="27" t="n">
        <f aca="false">I17+J15</f>
        <v>703.253199722629</v>
      </c>
      <c r="K17" s="27" t="n">
        <f aca="false">J17+K15</f>
        <v>821.256271945821</v>
      </c>
      <c r="L17" s="27" t="n">
        <f aca="false">K17+L15</f>
        <v>989.889152514143</v>
      </c>
      <c r="M17" s="27" t="n">
        <f aca="false">L17+M15</f>
        <v>1209.1518414276</v>
      </c>
      <c r="N17" s="27" t="n">
        <f aca="false">M17+N15</f>
        <v>1479.04433868618</v>
      </c>
      <c r="O17" s="27" t="n">
        <f aca="false">N17+O15</f>
        <v>1799.5666442899</v>
      </c>
      <c r="P17" s="27" t="n">
        <f aca="false">O17+P15</f>
        <v>2170.71875823874</v>
      </c>
      <c r="Q17" s="27" t="n">
        <f aca="false">P17+Q15</f>
        <v>2592.50068053272</v>
      </c>
      <c r="R17" s="27" t="n">
        <f aca="false">Q17+R15</f>
        <v>3064.91241117183</v>
      </c>
      <c r="S17" s="27" t="n">
        <f aca="false">R17+S15</f>
        <v>3587.95395015607</v>
      </c>
      <c r="T17" s="27" t="n">
        <f aca="false">S17+T15</f>
        <v>4161.62529748544</v>
      </c>
      <c r="U17" s="27" t="n">
        <f aca="false">T17+U15</f>
        <v>4785.92645315994</v>
      </c>
      <c r="V17" s="27" t="n">
        <f aca="false">U17+V15</f>
        <v>5460.85741717958</v>
      </c>
      <c r="W17" s="27" t="n">
        <f aca="false">V17+W15</f>
        <v>6186.41818954434</v>
      </c>
      <c r="X17" s="27" t="n">
        <f aca="false">W17+X15</f>
        <v>6962.60877025423</v>
      </c>
      <c r="Y17" s="27" t="n">
        <f aca="false">X17+Y15</f>
        <v>7789.42915930926</v>
      </c>
      <c r="Z17" s="31"/>
    </row>
    <row r="18" customFormat="false" ht="15" hidden="false" customHeight="false" outlineLevel="0" collapsed="false">
      <c r="A18" s="5" t="s">
        <v>173</v>
      </c>
      <c r="B18" s="20" t="n">
        <f aca="false">IF(B17&gt;=Hypotheses!$B$29*ABS(PL_24mois!B36),1,0)</f>
        <v>1</v>
      </c>
      <c r="C18" s="20" t="n">
        <f aca="false">IF(C17&gt;=Hypotheses!$B$29*ABS(PL_24mois!C36),1,0)</f>
        <v>1</v>
      </c>
      <c r="D18" s="20" t="n">
        <f aca="false">IF(D17&gt;=Hypotheses!$B$29*ABS(PL_24mois!D36),1,0)</f>
        <v>1</v>
      </c>
      <c r="E18" s="20" t="n">
        <f aca="false">IF(E17&gt;=Hypotheses!$B$29*ABS(PL_24mois!E36),1,0)</f>
        <v>1</v>
      </c>
      <c r="F18" s="20" t="n">
        <f aca="false">IF(F17&gt;=Hypotheses!$B$29*ABS(PL_24mois!F36),1,0)</f>
        <v>1</v>
      </c>
      <c r="G18" s="20" t="n">
        <f aca="false">IF(G17&gt;=Hypotheses!$B$29*ABS(PL_24mois!G36),1,0)</f>
        <v>1</v>
      </c>
      <c r="H18" s="20" t="n">
        <f aca="false">IF(H17&gt;=Hypotheses!$B$29*ABS(PL_24mois!H36),1,0)</f>
        <v>1</v>
      </c>
      <c r="I18" s="20" t="n">
        <f aca="false">IF(I17&gt;=Hypotheses!$B$29*ABS(PL_24mois!I36),1,0)</f>
        <v>1</v>
      </c>
      <c r="J18" s="20" t="n">
        <f aca="false">IF(J17&gt;=Hypotheses!$B$29*ABS(PL_24mois!J36),1,0)</f>
        <v>1</v>
      </c>
      <c r="K18" s="20" t="n">
        <f aca="false">IF(K17&gt;=Hypotheses!$B$29*ABS(PL_24mois!K36),1,0)</f>
        <v>1</v>
      </c>
      <c r="L18" s="20" t="n">
        <f aca="false">IF(L17&gt;=Hypotheses!$B$29*ABS(PL_24mois!L36),1,0)</f>
        <v>1</v>
      </c>
      <c r="M18" s="20" t="n">
        <f aca="false">IF(M17&gt;=Hypotheses!$B$29*ABS(PL_24mois!M36),1,0)</f>
        <v>1</v>
      </c>
      <c r="N18" s="20" t="n">
        <f aca="false">IF(N17&gt;=Hypotheses!$B$29*ABS(PL_24mois!N36),1,0)</f>
        <v>1</v>
      </c>
      <c r="O18" s="20" t="n">
        <f aca="false">IF(O17&gt;=Hypotheses!$B$29*ABS(PL_24mois!O36),1,0)</f>
        <v>1</v>
      </c>
      <c r="P18" s="20" t="n">
        <f aca="false">IF(P17&gt;=Hypotheses!$B$29*ABS(PL_24mois!P36),1,0)</f>
        <v>1</v>
      </c>
      <c r="Q18" s="20" t="n">
        <f aca="false">IF(Q17&gt;=Hypotheses!$B$29*ABS(PL_24mois!Q36),1,0)</f>
        <v>1</v>
      </c>
      <c r="R18" s="20" t="n">
        <f aca="false">IF(R17&gt;=Hypotheses!$B$29*ABS(PL_24mois!R36),1,0)</f>
        <v>1</v>
      </c>
      <c r="S18" s="20" t="n">
        <f aca="false">IF(S17&gt;=Hypotheses!$B$29*ABS(PL_24mois!S36),1,0)</f>
        <v>1</v>
      </c>
      <c r="T18" s="20" t="n">
        <f aca="false">IF(T17&gt;=Hypotheses!$B$29*ABS(PL_24mois!T36),1,0)</f>
        <v>1</v>
      </c>
      <c r="U18" s="20" t="n">
        <f aca="false">IF(U17&gt;=Hypotheses!$B$29*ABS(PL_24mois!U36),1,0)</f>
        <v>1</v>
      </c>
      <c r="V18" s="20" t="n">
        <f aca="false">IF(V17&gt;=Hypotheses!$B$29*ABS(PL_24mois!V36),1,0)</f>
        <v>1</v>
      </c>
      <c r="W18" s="20" t="n">
        <f aca="false">IF(W17&gt;=Hypotheses!$B$29*ABS(PL_24mois!W36),1,0)</f>
        <v>1</v>
      </c>
      <c r="X18" s="20" t="n">
        <f aca="false">IF(X17&gt;=Hypotheses!$B$29*ABS(PL_24mois!X36),1,0)</f>
        <v>1</v>
      </c>
      <c r="Y18" s="20" t="n">
        <f aca="false">IF(Y17&gt;=Hypotheses!$B$29*ABS(PL_24mois!Y36),1,0)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" t="s">
        <v>175</v>
      </c>
    </row>
    <row r="4" customFormat="false" ht="15" hidden="false" customHeight="false" outlineLevel="0" collapsed="false">
      <c r="A4" s="18" t="s">
        <v>176</v>
      </c>
      <c r="B4" s="18" t="s">
        <v>177</v>
      </c>
      <c r="C4" s="18" t="s">
        <v>178</v>
      </c>
      <c r="D4" s="18" t="s">
        <v>179</v>
      </c>
      <c r="E4" s="18" t="s">
        <v>180</v>
      </c>
    </row>
    <row r="5" customFormat="false" ht="22.35" hidden="false" customHeight="false" outlineLevel="0" collapsed="false">
      <c r="A5" s="5" t="s">
        <v>181</v>
      </c>
      <c r="B5" s="28" t="n">
        <f aca="false">SUM(PL_24mois!B15:M15)*Hypotheses!$B$56*Hypotheses!$B$57*Hypotheses!$B$58</f>
        <v>1664.17118251776</v>
      </c>
      <c r="C5" s="30" t="n">
        <f aca="false">SUM(PL_24mois!B15:M15)</f>
        <v>7924.624678656</v>
      </c>
      <c r="D5" s="28" t="n">
        <f aca="false">SUM(PL_24mois!B15:M15)*Hypotheses!$B$59*Hypotheses!$B$60*Hypotheses!$B$61</f>
        <v>19970.0541902131</v>
      </c>
      <c r="E5" s="32" t="s">
        <v>182</v>
      </c>
    </row>
    <row r="6" customFormat="false" ht="15" hidden="false" customHeight="false" outlineLevel="0" collapsed="false">
      <c r="A6" s="5" t="s">
        <v>183</v>
      </c>
      <c r="B6" s="28" t="n">
        <f aca="false">SUM(PL_24mois!B15:Y15)*Hypotheses!$B$56*Hypotheses!$B$57*Hypotheses!$B$58</f>
        <v>8062.27724526336</v>
      </c>
      <c r="C6" s="30" t="n">
        <f aca="false">SUM(PL_24mois!B15:Y15)</f>
        <v>38391.796406016</v>
      </c>
      <c r="D6" s="28" t="n">
        <f aca="false">SUM(PL_24mois!B15:Y15)*Hypotheses!$B$59*Hypotheses!$B$60*Hypotheses!$B$61</f>
        <v>96747.3269431603</v>
      </c>
      <c r="E6" s="32" t="s">
        <v>184</v>
      </c>
    </row>
    <row r="7" customFormat="false" ht="22.35" hidden="false" customHeight="false" outlineLevel="0" collapsed="false">
      <c r="A7" s="5" t="s">
        <v>185</v>
      </c>
      <c r="B7" s="28" t="n">
        <f aca="false">SUM(PL_24mois!B30:M30)*Hypotheses!$B$56*Hypotheses!$B$57*Hypotheses!$B$58</f>
        <v>471.426437192256</v>
      </c>
      <c r="C7" s="30" t="n">
        <f aca="false">SUM(PL_24mois!B30:M30)</f>
        <v>2244.8877961536</v>
      </c>
      <c r="D7" s="28" t="n">
        <f aca="false">SUM(PL_24mois!B30:M30)*Hypotheses!$B$59*Hypotheses!$B$60*Hypotheses!$B$61</f>
        <v>5657.11724630707</v>
      </c>
      <c r="E7" s="32" t="s">
        <v>186</v>
      </c>
    </row>
    <row r="8" customFormat="false" ht="22.35" hidden="false" customHeight="false" outlineLevel="0" collapsed="false">
      <c r="A8" s="5" t="s">
        <v>187</v>
      </c>
      <c r="B8" s="28" t="n">
        <f aca="false">SUM(PL_24mois!B38:M38)*Hypotheses!$B$56*Hypotheses!$B$57*Hypotheses!$B$58</f>
        <v>80.826437192256</v>
      </c>
      <c r="C8" s="30" t="n">
        <f aca="false">SUM(PL_24mois!B38:M38)</f>
        <v>384.8877961536</v>
      </c>
      <c r="D8" s="28" t="n">
        <f aca="false">SUM(PL_24mois!B38:M38)*Hypotheses!$B$59*Hypotheses!$B$60*Hypotheses!$B$61</f>
        <v>969.917246307072</v>
      </c>
      <c r="E8" s="32" t="s">
        <v>188</v>
      </c>
    </row>
    <row r="9" customFormat="false" ht="15" hidden="false" customHeight="false" outlineLevel="0" collapsed="false">
      <c r="A9" s="5" t="s">
        <v>189</v>
      </c>
      <c r="B9" s="28" t="n">
        <f aca="false">SUM(PL_24mois!B38:Y38)*Hypotheses!$B$56*Hypotheses!$B$57*Hypotheses!$B$58</f>
        <v>2147.67929935238</v>
      </c>
      <c r="C9" s="30" t="n">
        <f aca="false">SUM(PL_24mois!B38:Y38)</f>
        <v>10227.0442826304</v>
      </c>
      <c r="D9" s="28" t="n">
        <f aca="false">SUM(PL_24mois!B38:Y38)*Hypotheses!$B$59*Hypotheses!$B$60*Hypotheses!$B$61</f>
        <v>25772.1515922286</v>
      </c>
      <c r="E9" s="32" t="s">
        <v>190</v>
      </c>
    </row>
    <row r="10" customFormat="false" ht="15" hidden="false" customHeight="false" outlineLevel="0" collapsed="false">
      <c r="A10" s="5" t="s">
        <v>191</v>
      </c>
      <c r="B10" s="28" t="n">
        <f aca="false">SUM(PL_24mois!B42:M42)*Hypotheses!$B$56*Hypotheses!$B$57*Hypotheses!$B$58</f>
        <v>13.8615586293569</v>
      </c>
      <c r="C10" s="30" t="n">
        <f aca="false">SUM(PL_24mois!B42:M42)</f>
        <v>66.0074220445565</v>
      </c>
      <c r="D10" s="28" t="n">
        <f aca="false">SUM(PL_24mois!B42:M42)*Hypotheses!$B$59*Hypotheses!$B$60*Hypotheses!$B$61</f>
        <v>166.338703552282</v>
      </c>
      <c r="E10" s="32" t="s">
        <v>192</v>
      </c>
    </row>
    <row r="11" customFormat="false" ht="15" hidden="false" customHeight="false" outlineLevel="0" collapsed="false">
      <c r="A11" s="5" t="s">
        <v>193</v>
      </c>
      <c r="B11" s="28" t="n">
        <f aca="false">SUM(PL_24mois!B42:Y42)*Hypotheses!$B$56*Hypotheses!$B$57*Hypotheses!$B$58</f>
        <v>1565.65468753918</v>
      </c>
      <c r="C11" s="30" t="n">
        <f aca="false">SUM(PL_24mois!B42:Y42)</f>
        <v>7455.49851209134</v>
      </c>
      <c r="D11" s="28" t="n">
        <f aca="false">SUM(PL_24mois!B42:Y42)*Hypotheses!$B$59*Hypotheses!$B$60*Hypotheses!$B$61</f>
        <v>18787.8562504702</v>
      </c>
      <c r="E11" s="32" t="s">
        <v>194</v>
      </c>
    </row>
    <row r="13" customFormat="false" ht="15" hidden="false" customHeight="false" outlineLevel="0" collapsed="false">
      <c r="A13" s="3" t="s">
        <v>195</v>
      </c>
      <c r="B13" s="4"/>
      <c r="C13" s="4"/>
      <c r="D13" s="4"/>
      <c r="E13" s="4"/>
    </row>
    <row r="14" customFormat="false" ht="15" hidden="false" customHeight="false" outlineLevel="0" collapsed="false">
      <c r="A14" s="5" t="s">
        <v>196</v>
      </c>
      <c r="C14" s="33" t="n">
        <f aca="false">IFERROR(MATCH(TRUE(),(PL_24mois!B44:Y44&gt;=25000),0),"— (non atteint 24M)")</f>
        <v>22</v>
      </c>
      <c r="E14" s="2" t="s">
        <v>197</v>
      </c>
    </row>
    <row r="15" customFormat="false" ht="15" hidden="false" customHeight="false" outlineLevel="0" collapsed="false">
      <c r="A15" s="5" t="s">
        <v>198</v>
      </c>
      <c r="C15" s="28" t="n">
        <f aca="false">-SUM(PL_24mois!B27:M27)</f>
        <v>891.27986567424</v>
      </c>
      <c r="E15" s="2" t="s">
        <v>199</v>
      </c>
    </row>
    <row r="16" customFormat="false" ht="15" hidden="false" customHeight="false" outlineLevel="0" collapsed="false">
      <c r="A16" s="5" t="s">
        <v>200</v>
      </c>
      <c r="C16" s="28" t="n">
        <f aca="false">-SUM(PL_24mois!B28:M28)</f>
        <v>599.76331502976</v>
      </c>
      <c r="E16" s="2" t="s">
        <v>201</v>
      </c>
    </row>
    <row r="18" customFormat="false" ht="15" hidden="false" customHeight="false" outlineLevel="0" collapsed="false">
      <c r="A18" s="34" t="s">
        <v>202</v>
      </c>
      <c r="B18" s="34"/>
      <c r="C18" s="34"/>
      <c r="D18" s="34"/>
      <c r="E18" s="34"/>
    </row>
    <row r="19" customFormat="false" ht="15" hidden="false" customHeight="false" outlineLevel="0" collapsed="false">
      <c r="A19" s="16" t="s">
        <v>203</v>
      </c>
      <c r="B19" s="16"/>
      <c r="C19" s="16"/>
      <c r="D19" s="16"/>
      <c r="E19" s="16"/>
    </row>
    <row r="20" customFormat="false" ht="15" hidden="false" customHeight="false" outlineLevel="0" collapsed="false">
      <c r="A20" s="16" t="s">
        <v>204</v>
      </c>
      <c r="B20" s="16"/>
      <c r="C20" s="16"/>
      <c r="D20" s="16"/>
      <c r="E20" s="16"/>
    </row>
    <row r="21" customFormat="false" ht="15" hidden="false" customHeight="false" outlineLevel="0" collapsed="false">
      <c r="A21" s="16" t="s">
        <v>205</v>
      </c>
      <c r="B21" s="16"/>
      <c r="C21" s="16"/>
      <c r="D21" s="16"/>
      <c r="E21" s="16"/>
    </row>
    <row r="22" customFormat="false" ht="15" hidden="false" customHeight="false" outlineLevel="0" collapsed="false">
      <c r="A22" s="16" t="s">
        <v>206</v>
      </c>
      <c r="B22" s="16"/>
      <c r="C22" s="16"/>
      <c r="D22" s="16"/>
      <c r="E22" s="16"/>
    </row>
    <row r="23" customFormat="false" ht="15" hidden="false" customHeight="false" outlineLevel="0" collapsed="false">
      <c r="A23" s="16" t="s">
        <v>207</v>
      </c>
      <c r="B23" s="16"/>
      <c r="C23" s="16"/>
      <c r="D23" s="16"/>
      <c r="E23" s="16"/>
    </row>
  </sheetData>
  <mergeCells count="6">
    <mergeCell ref="A18:E18"/>
    <mergeCell ref="A19:E19"/>
    <mergeCell ref="A20:E20"/>
    <mergeCell ref="A21:E21"/>
    <mergeCell ref="A22:E2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7" min="2" style="0" width="11"/>
  </cols>
  <sheetData>
    <row r="1" customFormat="false" ht="17.35" hidden="false" customHeight="false" outlineLevel="0" collapsed="false">
      <c r="A1" s="1" t="s">
        <v>208</v>
      </c>
    </row>
    <row r="2" customFormat="false" ht="15" hidden="false" customHeight="false" outlineLevel="0" collapsed="false">
      <c r="A2" s="2" t="s">
        <v>209</v>
      </c>
    </row>
    <row r="4" customFormat="false" ht="15" hidden="false" customHeight="false" outlineLevel="0" collapsed="false">
      <c r="A4" s="3" t="s">
        <v>210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5" t="s">
        <v>211</v>
      </c>
      <c r="B5" s="11" t="n">
        <v>1500</v>
      </c>
      <c r="C5" s="16" t="s">
        <v>212</v>
      </c>
      <c r="D5" s="16"/>
      <c r="E5" s="16"/>
      <c r="F5" s="16"/>
      <c r="G5" s="16"/>
      <c r="H5" s="16"/>
      <c r="I5" s="16"/>
      <c r="J5" s="16"/>
    </row>
    <row r="6" customFormat="false" ht="15" hidden="false" customHeight="false" outlineLevel="0" collapsed="false">
      <c r="A6" s="5" t="s">
        <v>213</v>
      </c>
      <c r="B6" s="11" t="n">
        <v>300</v>
      </c>
      <c r="C6" s="16" t="s">
        <v>214</v>
      </c>
      <c r="D6" s="16"/>
      <c r="E6" s="16"/>
      <c r="F6" s="16"/>
      <c r="G6" s="16"/>
      <c r="H6" s="16"/>
      <c r="I6" s="16"/>
      <c r="J6" s="16"/>
    </row>
    <row r="7" customFormat="false" ht="15" hidden="false" customHeight="false" outlineLevel="0" collapsed="false">
      <c r="A7" s="5" t="s">
        <v>215</v>
      </c>
      <c r="B7" s="8" t="n">
        <v>0.07</v>
      </c>
      <c r="C7" s="16" t="s">
        <v>216</v>
      </c>
      <c r="D7" s="16"/>
      <c r="E7" s="16"/>
      <c r="F7" s="16"/>
      <c r="G7" s="16"/>
      <c r="H7" s="16"/>
      <c r="I7" s="16"/>
      <c r="J7" s="16"/>
    </row>
    <row r="8" customFormat="false" ht="15" hidden="false" customHeight="false" outlineLevel="0" collapsed="false">
      <c r="A8" s="5" t="s">
        <v>217</v>
      </c>
      <c r="B8" s="10" t="n">
        <v>2500</v>
      </c>
      <c r="C8" s="16" t="s">
        <v>218</v>
      </c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5" t="s">
        <v>219</v>
      </c>
      <c r="B9" s="8" t="n">
        <v>0.08</v>
      </c>
      <c r="C9" s="16" t="s">
        <v>220</v>
      </c>
      <c r="D9" s="16"/>
      <c r="E9" s="16"/>
      <c r="F9" s="16"/>
      <c r="G9" s="16"/>
      <c r="H9" s="16"/>
      <c r="I9" s="16"/>
      <c r="J9" s="16"/>
    </row>
    <row r="10" customFormat="false" ht="15" hidden="false" customHeight="false" outlineLevel="0" collapsed="false">
      <c r="A10" s="5" t="s">
        <v>221</v>
      </c>
      <c r="B10" s="12" t="n">
        <v>9</v>
      </c>
      <c r="C10" s="16" t="s">
        <v>222</v>
      </c>
      <c r="D10" s="16"/>
      <c r="E10" s="16"/>
      <c r="F10" s="16"/>
      <c r="G10" s="16"/>
      <c r="H10" s="16"/>
      <c r="I10" s="16"/>
      <c r="J10" s="16"/>
    </row>
    <row r="11" customFormat="false" ht="15" hidden="false" customHeight="false" outlineLevel="0" collapsed="false">
      <c r="A11" s="5" t="s">
        <v>223</v>
      </c>
      <c r="B11" s="15" t="n">
        <v>1</v>
      </c>
      <c r="C11" s="16" t="s">
        <v>224</v>
      </c>
      <c r="D11" s="16"/>
      <c r="E11" s="16"/>
      <c r="F11" s="16"/>
      <c r="G11" s="16"/>
      <c r="H11" s="16"/>
      <c r="I11" s="16"/>
      <c r="J11" s="16"/>
    </row>
    <row r="14" customFormat="false" ht="15" hidden="false" customHeight="false" outlineLevel="0" collapsed="false">
      <c r="A14" s="3" t="s">
        <v>225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" hidden="false" customHeight="false" outlineLevel="0" collapsed="false">
      <c r="A15" s="17" t="s">
        <v>93</v>
      </c>
      <c r="B15" s="18" t="s">
        <v>94</v>
      </c>
      <c r="C15" s="18" t="s">
        <v>95</v>
      </c>
      <c r="D15" s="18" t="s">
        <v>96</v>
      </c>
      <c r="E15" s="18" t="s">
        <v>97</v>
      </c>
      <c r="F15" s="18" t="s">
        <v>98</v>
      </c>
      <c r="G15" s="18" t="s">
        <v>99</v>
      </c>
      <c r="H15" s="18" t="s">
        <v>100</v>
      </c>
      <c r="I15" s="18" t="s">
        <v>101</v>
      </c>
      <c r="J15" s="18" t="s">
        <v>102</v>
      </c>
      <c r="K15" s="18" t="s">
        <v>103</v>
      </c>
      <c r="L15" s="18" t="s">
        <v>104</v>
      </c>
      <c r="M15" s="18" t="s">
        <v>105</v>
      </c>
      <c r="N15" s="18" t="s">
        <v>106</v>
      </c>
      <c r="O15" s="18" t="s">
        <v>107</v>
      </c>
      <c r="P15" s="18" t="s">
        <v>108</v>
      </c>
      <c r="Q15" s="18" t="s">
        <v>109</v>
      </c>
      <c r="R15" s="18" t="s">
        <v>110</v>
      </c>
      <c r="S15" s="18" t="s">
        <v>111</v>
      </c>
      <c r="T15" s="18" t="s">
        <v>112</v>
      </c>
      <c r="U15" s="18" t="s">
        <v>113</v>
      </c>
      <c r="V15" s="18" t="s">
        <v>114</v>
      </c>
      <c r="W15" s="18" t="s">
        <v>115</v>
      </c>
      <c r="X15" s="18" t="s">
        <v>116</v>
      </c>
      <c r="Y15" s="18" t="s">
        <v>117</v>
      </c>
      <c r="Z15" s="18" t="s">
        <v>118</v>
      </c>
    </row>
    <row r="16" customFormat="false" ht="15" hidden="false" customHeight="false" outlineLevel="0" collapsed="false">
      <c r="A16" s="5" t="s">
        <v>226</v>
      </c>
      <c r="B16" s="20" t="n">
        <f aca="false">IF(1&gt;=$B$10,$B$11,0)</f>
        <v>0</v>
      </c>
      <c r="C16" s="20" t="n">
        <f aca="false">IF(2&gt;=$B$10,$B$11,0)</f>
        <v>0</v>
      </c>
      <c r="D16" s="20" t="n">
        <f aca="false">IF(3&gt;=$B$10,$B$11,0)</f>
        <v>0</v>
      </c>
      <c r="E16" s="20" t="n">
        <f aca="false">IF(4&gt;=$B$10,$B$11,0)</f>
        <v>0</v>
      </c>
      <c r="F16" s="20" t="n">
        <f aca="false">IF(5&gt;=$B$10,$B$11,0)</f>
        <v>0</v>
      </c>
      <c r="G16" s="20" t="n">
        <f aca="false">IF(6&gt;=$B$10,$B$11,0)</f>
        <v>0</v>
      </c>
      <c r="H16" s="20" t="n">
        <f aca="false">IF(7&gt;=$B$10,$B$11,0)</f>
        <v>0</v>
      </c>
      <c r="I16" s="20" t="n">
        <f aca="false">IF(8&gt;=$B$10,$B$11,0)</f>
        <v>0</v>
      </c>
      <c r="J16" s="20" t="n">
        <f aca="false">IF(9&gt;=$B$10,$B$11,0)</f>
        <v>1</v>
      </c>
      <c r="K16" s="20" t="n">
        <f aca="false">IF(10&gt;=$B$10,$B$11,0)</f>
        <v>1</v>
      </c>
      <c r="L16" s="20" t="n">
        <f aca="false">IF(11&gt;=$B$10,$B$11,0)</f>
        <v>1</v>
      </c>
      <c r="M16" s="20" t="n">
        <f aca="false">IF(12&gt;=$B$10,$B$11,0)</f>
        <v>1</v>
      </c>
      <c r="N16" s="20" t="n">
        <f aca="false">IF(13&gt;=$B$10,$B$11,0)</f>
        <v>1</v>
      </c>
      <c r="O16" s="20" t="n">
        <f aca="false">IF(14&gt;=$B$10,$B$11,0)</f>
        <v>1</v>
      </c>
      <c r="P16" s="20" t="n">
        <f aca="false">IF(15&gt;=$B$10,$B$11,0)</f>
        <v>1</v>
      </c>
      <c r="Q16" s="20" t="n">
        <f aca="false">IF(16&gt;=$B$10,$B$11,0)</f>
        <v>1</v>
      </c>
      <c r="R16" s="20" t="n">
        <f aca="false">IF(17&gt;=$B$10,$B$11,0)</f>
        <v>1</v>
      </c>
      <c r="S16" s="20" t="n">
        <f aca="false">IF(18&gt;=$B$10,$B$11,0)</f>
        <v>1</v>
      </c>
      <c r="T16" s="20" t="n">
        <f aca="false">IF(19&gt;=$B$10,$B$11,0)</f>
        <v>1</v>
      </c>
      <c r="U16" s="20" t="n">
        <f aca="false">IF(20&gt;=$B$10,$B$11,0)</f>
        <v>1</v>
      </c>
      <c r="V16" s="20" t="n">
        <f aca="false">IF(21&gt;=$B$10,$B$11,0)</f>
        <v>1</v>
      </c>
      <c r="W16" s="20" t="n">
        <f aca="false">IF(22&gt;=$B$10,$B$11,0)</f>
        <v>1</v>
      </c>
      <c r="X16" s="20" t="n">
        <f aca="false">IF(23&gt;=$B$10,$B$11,0)</f>
        <v>1</v>
      </c>
      <c r="Y16" s="20" t="n">
        <f aca="false">IF(24&gt;=$B$10,$B$11,0)</f>
        <v>1</v>
      </c>
      <c r="Z16" s="35" t="n">
        <f aca="false">SUM(B16:Y16)</f>
        <v>16</v>
      </c>
    </row>
    <row r="17" customFormat="false" ht="15" hidden="false" customHeight="false" outlineLevel="0" collapsed="false">
      <c r="A17" s="5" t="s">
        <v>227</v>
      </c>
      <c r="B17" s="36" t="n">
        <f aca="false">B16</f>
        <v>0</v>
      </c>
      <c r="C17" s="36" t="n">
        <f aca="false">B17*(1-$B$9)+C16</f>
        <v>0</v>
      </c>
      <c r="D17" s="36" t="n">
        <f aca="false">C17*(1-$B$9)+D16</f>
        <v>0</v>
      </c>
      <c r="E17" s="36" t="n">
        <f aca="false">D17*(1-$B$9)+E16</f>
        <v>0</v>
      </c>
      <c r="F17" s="36" t="n">
        <f aca="false">E17*(1-$B$9)+F16</f>
        <v>0</v>
      </c>
      <c r="G17" s="36" t="n">
        <f aca="false">F17*(1-$B$9)+G16</f>
        <v>0</v>
      </c>
      <c r="H17" s="36" t="n">
        <f aca="false">G17*(1-$B$9)+H16</f>
        <v>0</v>
      </c>
      <c r="I17" s="36" t="n">
        <f aca="false">H17*(1-$B$9)+I16</f>
        <v>0</v>
      </c>
      <c r="J17" s="36" t="n">
        <f aca="false">I17*(1-$B$9)+J16</f>
        <v>1</v>
      </c>
      <c r="K17" s="36" t="n">
        <f aca="false">J17*(1-$B$9)+K16</f>
        <v>1.92</v>
      </c>
      <c r="L17" s="36" t="n">
        <f aca="false">K17*(1-$B$9)+L16</f>
        <v>2.7664</v>
      </c>
      <c r="M17" s="36" t="n">
        <f aca="false">L17*(1-$B$9)+M16</f>
        <v>3.545088</v>
      </c>
      <c r="N17" s="36" t="n">
        <f aca="false">M17*(1-$B$9)+N16</f>
        <v>4.26148096</v>
      </c>
      <c r="O17" s="36" t="n">
        <f aca="false">N17*(1-$B$9)+O16</f>
        <v>4.9205624832</v>
      </c>
      <c r="P17" s="36" t="n">
        <f aca="false">O17*(1-$B$9)+P16</f>
        <v>5.526917484544</v>
      </c>
      <c r="Q17" s="36" t="n">
        <f aca="false">P17*(1-$B$9)+Q16</f>
        <v>6.08476408578048</v>
      </c>
      <c r="R17" s="36" t="n">
        <f aca="false">Q17*(1-$B$9)+R16</f>
        <v>6.59798295891804</v>
      </c>
      <c r="S17" s="36" t="n">
        <f aca="false">R17*(1-$B$9)+S16</f>
        <v>7.0701443222046</v>
      </c>
      <c r="T17" s="36" t="n">
        <f aca="false">S17*(1-$B$9)+T16</f>
        <v>7.50453277642823</v>
      </c>
      <c r="U17" s="36" t="n">
        <f aca="false">T17*(1-$B$9)+U16</f>
        <v>7.90417015431397</v>
      </c>
      <c r="V17" s="36" t="n">
        <f aca="false">U17*(1-$B$9)+V16</f>
        <v>8.27183654196886</v>
      </c>
      <c r="W17" s="36" t="n">
        <f aca="false">V17*(1-$B$9)+W16</f>
        <v>8.61008961861135</v>
      </c>
      <c r="X17" s="36" t="n">
        <f aca="false">W17*(1-$B$9)+X16</f>
        <v>8.92128244912244</v>
      </c>
      <c r="Y17" s="36" t="n">
        <f aca="false">X17*(1-$B$9)+Y16</f>
        <v>9.20757985319265</v>
      </c>
      <c r="Z17" s="2" t="s">
        <v>121</v>
      </c>
    </row>
    <row r="19" customFormat="false" ht="15" hidden="false" customHeight="false" outlineLevel="0" collapsed="false">
      <c r="A19" s="5" t="s">
        <v>228</v>
      </c>
      <c r="B19" s="28" t="n">
        <f aca="false">B16*$B$5</f>
        <v>0</v>
      </c>
      <c r="C19" s="28" t="n">
        <f aca="false">C16*$B$5</f>
        <v>0</v>
      </c>
      <c r="D19" s="28" t="n">
        <f aca="false">D16*$B$5</f>
        <v>0</v>
      </c>
      <c r="E19" s="28" t="n">
        <f aca="false">E16*$B$5</f>
        <v>0</v>
      </c>
      <c r="F19" s="28" t="n">
        <f aca="false">F16*$B$5</f>
        <v>0</v>
      </c>
      <c r="G19" s="28" t="n">
        <f aca="false">G16*$B$5</f>
        <v>0</v>
      </c>
      <c r="H19" s="28" t="n">
        <f aca="false">H16*$B$5</f>
        <v>0</v>
      </c>
      <c r="I19" s="28" t="n">
        <f aca="false">I16*$B$5</f>
        <v>0</v>
      </c>
      <c r="J19" s="28" t="n">
        <f aca="false">J16*$B$5</f>
        <v>1500</v>
      </c>
      <c r="K19" s="28" t="n">
        <f aca="false">K16*$B$5</f>
        <v>1500</v>
      </c>
      <c r="L19" s="28" t="n">
        <f aca="false">L16*$B$5</f>
        <v>1500</v>
      </c>
      <c r="M19" s="28" t="n">
        <f aca="false">M16*$B$5</f>
        <v>1500</v>
      </c>
      <c r="N19" s="28" t="n">
        <f aca="false">N16*$B$5</f>
        <v>1500</v>
      </c>
      <c r="O19" s="28" t="n">
        <f aca="false">O16*$B$5</f>
        <v>1500</v>
      </c>
      <c r="P19" s="28" t="n">
        <f aca="false">P16*$B$5</f>
        <v>1500</v>
      </c>
      <c r="Q19" s="28" t="n">
        <f aca="false">Q16*$B$5</f>
        <v>1500</v>
      </c>
      <c r="R19" s="28" t="n">
        <f aca="false">R16*$B$5</f>
        <v>1500</v>
      </c>
      <c r="S19" s="28" t="n">
        <f aca="false">S16*$B$5</f>
        <v>1500</v>
      </c>
      <c r="T19" s="28" t="n">
        <f aca="false">T16*$B$5</f>
        <v>1500</v>
      </c>
      <c r="U19" s="28" t="n">
        <f aca="false">U16*$B$5</f>
        <v>1500</v>
      </c>
      <c r="V19" s="28" t="n">
        <f aca="false">V16*$B$5</f>
        <v>1500</v>
      </c>
      <c r="W19" s="28" t="n">
        <f aca="false">W16*$B$5</f>
        <v>1500</v>
      </c>
      <c r="X19" s="28" t="n">
        <f aca="false">X16*$B$5</f>
        <v>1500</v>
      </c>
      <c r="Y19" s="28" t="n">
        <f aca="false">Y16*$B$5</f>
        <v>1500</v>
      </c>
      <c r="Z19" s="29" t="n">
        <f aca="false">SUM(B19:Y19)</f>
        <v>24000</v>
      </c>
    </row>
    <row r="20" customFormat="false" ht="15" hidden="false" customHeight="false" outlineLevel="0" collapsed="false">
      <c r="A20" s="5" t="s">
        <v>229</v>
      </c>
      <c r="B20" s="28" t="n">
        <f aca="false">B17*$B$6</f>
        <v>0</v>
      </c>
      <c r="C20" s="28" t="n">
        <f aca="false">C17*$B$6</f>
        <v>0</v>
      </c>
      <c r="D20" s="28" t="n">
        <f aca="false">D17*$B$6</f>
        <v>0</v>
      </c>
      <c r="E20" s="28" t="n">
        <f aca="false">E17*$B$6</f>
        <v>0</v>
      </c>
      <c r="F20" s="28" t="n">
        <f aca="false">F17*$B$6</f>
        <v>0</v>
      </c>
      <c r="G20" s="28" t="n">
        <f aca="false">G17*$B$6</f>
        <v>0</v>
      </c>
      <c r="H20" s="28" t="n">
        <f aca="false">H17*$B$6</f>
        <v>0</v>
      </c>
      <c r="I20" s="28" t="n">
        <f aca="false">I17*$B$6</f>
        <v>0</v>
      </c>
      <c r="J20" s="28" t="n">
        <f aca="false">J17*$B$6</f>
        <v>300</v>
      </c>
      <c r="K20" s="28" t="n">
        <f aca="false">K17*$B$6</f>
        <v>576</v>
      </c>
      <c r="L20" s="28" t="n">
        <f aca="false">L17*$B$6</f>
        <v>829.92</v>
      </c>
      <c r="M20" s="28" t="n">
        <f aca="false">M17*$B$6</f>
        <v>1063.5264</v>
      </c>
      <c r="N20" s="28" t="n">
        <f aca="false">N17*$B$6</f>
        <v>1278.444288</v>
      </c>
      <c r="O20" s="28" t="n">
        <f aca="false">O17*$B$6</f>
        <v>1476.16874496</v>
      </c>
      <c r="P20" s="28" t="n">
        <f aca="false">P17*$B$6</f>
        <v>1658.0752453632</v>
      </c>
      <c r="Q20" s="28" t="n">
        <f aca="false">Q17*$B$6</f>
        <v>1825.42922573414</v>
      </c>
      <c r="R20" s="28" t="n">
        <f aca="false">R17*$B$6</f>
        <v>1979.39488767541</v>
      </c>
      <c r="S20" s="28" t="n">
        <f aca="false">S17*$B$6</f>
        <v>2121.04329666138</v>
      </c>
      <c r="T20" s="28" t="n">
        <f aca="false">T17*$B$6</f>
        <v>2251.35983292847</v>
      </c>
      <c r="U20" s="28" t="n">
        <f aca="false">U17*$B$6</f>
        <v>2371.25104629419</v>
      </c>
      <c r="V20" s="28" t="n">
        <f aca="false">V17*$B$6</f>
        <v>2481.55096259066</v>
      </c>
      <c r="W20" s="28" t="n">
        <f aca="false">W17*$B$6</f>
        <v>2583.0268855834</v>
      </c>
      <c r="X20" s="28" t="n">
        <f aca="false">X17*$B$6</f>
        <v>2676.38473473673</v>
      </c>
      <c r="Y20" s="28" t="n">
        <f aca="false">Y17*$B$6</f>
        <v>2762.27395595779</v>
      </c>
      <c r="Z20" s="29" t="n">
        <f aca="false">SUM(B20:Y20)</f>
        <v>28233.8495064854</v>
      </c>
    </row>
    <row r="21" customFormat="false" ht="15" hidden="false" customHeight="false" outlineLevel="0" collapsed="false">
      <c r="A21" s="5" t="s">
        <v>230</v>
      </c>
      <c r="B21" s="28" t="n">
        <f aca="false">B17*$B$8*$B$7</f>
        <v>0</v>
      </c>
      <c r="C21" s="28" t="n">
        <f aca="false">C17*$B$8*$B$7</f>
        <v>0</v>
      </c>
      <c r="D21" s="28" t="n">
        <f aca="false">D17*$B$8*$B$7</f>
        <v>0</v>
      </c>
      <c r="E21" s="28" t="n">
        <f aca="false">E17*$B$8*$B$7</f>
        <v>0</v>
      </c>
      <c r="F21" s="28" t="n">
        <f aca="false">F17*$B$8*$B$7</f>
        <v>0</v>
      </c>
      <c r="G21" s="28" t="n">
        <f aca="false">G17*$B$8*$B$7</f>
        <v>0</v>
      </c>
      <c r="H21" s="28" t="n">
        <f aca="false">H17*$B$8*$B$7</f>
        <v>0</v>
      </c>
      <c r="I21" s="28" t="n">
        <f aca="false">I17*$B$8*$B$7</f>
        <v>0</v>
      </c>
      <c r="J21" s="28" t="n">
        <f aca="false">J17*$B$8*$B$7</f>
        <v>175</v>
      </c>
      <c r="K21" s="28" t="n">
        <f aca="false">K17*$B$8*$B$7</f>
        <v>336</v>
      </c>
      <c r="L21" s="28" t="n">
        <f aca="false">L17*$B$8*$B$7</f>
        <v>484.12</v>
      </c>
      <c r="M21" s="28" t="n">
        <f aca="false">M17*$B$8*$B$7</f>
        <v>620.3904</v>
      </c>
      <c r="N21" s="28" t="n">
        <f aca="false">N17*$B$8*$B$7</f>
        <v>745.759168</v>
      </c>
      <c r="O21" s="28" t="n">
        <f aca="false">O17*$B$8*$B$7</f>
        <v>861.09843456</v>
      </c>
      <c r="P21" s="28" t="n">
        <f aca="false">P17*$B$8*$B$7</f>
        <v>967.2105597952</v>
      </c>
      <c r="Q21" s="28" t="n">
        <f aca="false">Q17*$B$8*$B$7</f>
        <v>1064.83371501158</v>
      </c>
      <c r="R21" s="28" t="n">
        <f aca="false">R17*$B$8*$B$7</f>
        <v>1154.64701781066</v>
      </c>
      <c r="S21" s="28" t="n">
        <f aca="false">S17*$B$8*$B$7</f>
        <v>1237.2752563858</v>
      </c>
      <c r="T21" s="28" t="n">
        <f aca="false">T17*$B$8*$B$7</f>
        <v>1313.29323587494</v>
      </c>
      <c r="U21" s="28" t="n">
        <f aca="false">U17*$B$8*$B$7</f>
        <v>1383.22977700495</v>
      </c>
      <c r="V21" s="28" t="n">
        <f aca="false">V17*$B$8*$B$7</f>
        <v>1447.57139484455</v>
      </c>
      <c r="W21" s="28" t="n">
        <f aca="false">W17*$B$8*$B$7</f>
        <v>1506.76568325699</v>
      </c>
      <c r="X21" s="28" t="n">
        <f aca="false">X17*$B$8*$B$7</f>
        <v>1561.22442859643</v>
      </c>
      <c r="Y21" s="28" t="n">
        <f aca="false">Y17*$B$8*$B$7</f>
        <v>1611.32647430871</v>
      </c>
      <c r="Z21" s="29" t="n">
        <f aca="false">SUM(B21:Y21)</f>
        <v>16469.7455454498</v>
      </c>
    </row>
    <row r="22" customFormat="false" ht="15" hidden="false" customHeight="false" outlineLevel="0" collapsed="false">
      <c r="A22" s="21" t="s">
        <v>231</v>
      </c>
      <c r="B22" s="27" t="n">
        <f aca="false">B19+B20+B21</f>
        <v>0</v>
      </c>
      <c r="C22" s="27" t="n">
        <f aca="false">C19+C20+C21</f>
        <v>0</v>
      </c>
      <c r="D22" s="27" t="n">
        <f aca="false">D19+D20+D21</f>
        <v>0</v>
      </c>
      <c r="E22" s="27" t="n">
        <f aca="false">E19+E20+E21</f>
        <v>0</v>
      </c>
      <c r="F22" s="27" t="n">
        <f aca="false">F19+F20+F21</f>
        <v>0</v>
      </c>
      <c r="G22" s="27" t="n">
        <f aca="false">G19+G20+G21</f>
        <v>0</v>
      </c>
      <c r="H22" s="27" t="n">
        <f aca="false">H19+H20+H21</f>
        <v>0</v>
      </c>
      <c r="I22" s="27" t="n">
        <f aca="false">I19+I20+I21</f>
        <v>0</v>
      </c>
      <c r="J22" s="27" t="n">
        <f aca="false">J19+J20+J21</f>
        <v>1975</v>
      </c>
      <c r="K22" s="27" t="n">
        <f aca="false">K19+K20+K21</f>
        <v>2412</v>
      </c>
      <c r="L22" s="27" t="n">
        <f aca="false">L19+L20+L21</f>
        <v>2814.04</v>
      </c>
      <c r="M22" s="27" t="n">
        <f aca="false">M19+M20+M21</f>
        <v>3183.9168</v>
      </c>
      <c r="N22" s="27" t="n">
        <f aca="false">N19+N20+N21</f>
        <v>3524.203456</v>
      </c>
      <c r="O22" s="27" t="n">
        <f aca="false">O19+O20+O21</f>
        <v>3837.26717952</v>
      </c>
      <c r="P22" s="27" t="n">
        <f aca="false">P19+P20+P21</f>
        <v>4125.2858051584</v>
      </c>
      <c r="Q22" s="27" t="n">
        <f aca="false">Q19+Q20+Q21</f>
        <v>4390.26294074573</v>
      </c>
      <c r="R22" s="27" t="n">
        <f aca="false">R19+R20+R21</f>
        <v>4634.04190548607</v>
      </c>
      <c r="S22" s="27" t="n">
        <f aca="false">S19+S20+S21</f>
        <v>4858.31855304719</v>
      </c>
      <c r="T22" s="27" t="n">
        <f aca="false">T19+T20+T21</f>
        <v>5064.65306880341</v>
      </c>
      <c r="U22" s="27" t="n">
        <f aca="false">U19+U20+U21</f>
        <v>5254.48082329914</v>
      </c>
      <c r="V22" s="27" t="n">
        <f aca="false">V19+V20+V21</f>
        <v>5429.12235743521</v>
      </c>
      <c r="W22" s="27" t="n">
        <f aca="false">W19+W20+W21</f>
        <v>5589.79256884039</v>
      </c>
      <c r="X22" s="27" t="n">
        <f aca="false">X19+X20+X21</f>
        <v>5737.60916333316</v>
      </c>
      <c r="Y22" s="27" t="n">
        <f aca="false">Y19+Y20+Y21</f>
        <v>5873.60043026651</v>
      </c>
      <c r="Z22" s="27" t="n">
        <f aca="false">SUM(B22:Y22)</f>
        <v>68703.5950519352</v>
      </c>
    </row>
    <row r="23" customFormat="false" ht="15" hidden="false" customHeight="false" outlineLevel="0" collapsed="false">
      <c r="A23" s="3" t="s">
        <v>232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" hidden="false" customHeight="false" outlineLevel="0" collapsed="false">
      <c r="A24" s="5" t="s">
        <v>233</v>
      </c>
      <c r="B24" s="28" t="n">
        <f aca="false">-B17*30</f>
        <v>-0</v>
      </c>
      <c r="C24" s="28" t="n">
        <f aca="false">-C17*30</f>
        <v>-0</v>
      </c>
      <c r="D24" s="28" t="n">
        <f aca="false">-D17*30</f>
        <v>-0</v>
      </c>
      <c r="E24" s="28" t="n">
        <f aca="false">-E17*30</f>
        <v>-0</v>
      </c>
      <c r="F24" s="28" t="n">
        <f aca="false">-F17*30</f>
        <v>-0</v>
      </c>
      <c r="G24" s="28" t="n">
        <f aca="false">-G17*30</f>
        <v>-0</v>
      </c>
      <c r="H24" s="28" t="n">
        <f aca="false">-H17*30</f>
        <v>-0</v>
      </c>
      <c r="I24" s="28" t="n">
        <f aca="false">-I17*30</f>
        <v>-0</v>
      </c>
      <c r="J24" s="28" t="n">
        <f aca="false">-J17*30</f>
        <v>-30</v>
      </c>
      <c r="K24" s="28" t="n">
        <f aca="false">-K17*30</f>
        <v>-57.6</v>
      </c>
      <c r="L24" s="28" t="n">
        <f aca="false">-L17*30</f>
        <v>-82.992</v>
      </c>
      <c r="M24" s="28" t="n">
        <f aca="false">-M17*30</f>
        <v>-106.35264</v>
      </c>
      <c r="N24" s="28" t="n">
        <f aca="false">-N17*30</f>
        <v>-127.8444288</v>
      </c>
      <c r="O24" s="28" t="n">
        <f aca="false">-O17*30</f>
        <v>-147.616874496</v>
      </c>
      <c r="P24" s="28" t="n">
        <f aca="false">-P17*30</f>
        <v>-165.80752453632</v>
      </c>
      <c r="Q24" s="28" t="n">
        <f aca="false">-Q17*30</f>
        <v>-182.542922573414</v>
      </c>
      <c r="R24" s="28" t="n">
        <f aca="false">-R17*30</f>
        <v>-197.939488767541</v>
      </c>
      <c r="S24" s="28" t="n">
        <f aca="false">-S17*30</f>
        <v>-212.104329666138</v>
      </c>
      <c r="T24" s="28" t="n">
        <f aca="false">-T17*30</f>
        <v>-225.135983292847</v>
      </c>
      <c r="U24" s="28" t="n">
        <f aca="false">-U17*30</f>
        <v>-237.125104629419</v>
      </c>
      <c r="V24" s="28" t="n">
        <f aca="false">-V17*30</f>
        <v>-248.155096259066</v>
      </c>
      <c r="W24" s="28" t="n">
        <f aca="false">-W17*30</f>
        <v>-258.30268855834</v>
      </c>
      <c r="X24" s="28" t="n">
        <f aca="false">-X17*30</f>
        <v>-267.638473473673</v>
      </c>
      <c r="Y24" s="28" t="n">
        <f aca="false">-Y17*30</f>
        <v>-276.227395595779</v>
      </c>
      <c r="Z24" s="29" t="n">
        <f aca="false">SUM(B24:Y24)</f>
        <v>-2823.38495064854</v>
      </c>
    </row>
    <row r="25" customFormat="false" ht="15" hidden="false" customHeight="false" outlineLevel="0" collapsed="false">
      <c r="A25" s="5" t="s">
        <v>234</v>
      </c>
      <c r="B25" s="28" t="n">
        <f aca="false">-B17*80</f>
        <v>-0</v>
      </c>
      <c r="C25" s="28" t="n">
        <f aca="false">-C17*80</f>
        <v>-0</v>
      </c>
      <c r="D25" s="28" t="n">
        <f aca="false">-D17*80</f>
        <v>-0</v>
      </c>
      <c r="E25" s="28" t="n">
        <f aca="false">-E17*80</f>
        <v>-0</v>
      </c>
      <c r="F25" s="28" t="n">
        <f aca="false">-F17*80</f>
        <v>-0</v>
      </c>
      <c r="G25" s="28" t="n">
        <f aca="false">-G17*80</f>
        <v>-0</v>
      </c>
      <c r="H25" s="28" t="n">
        <f aca="false">-H17*80</f>
        <v>-0</v>
      </c>
      <c r="I25" s="28" t="n">
        <f aca="false">-I17*80</f>
        <v>-0</v>
      </c>
      <c r="J25" s="28" t="n">
        <f aca="false">-J17*80</f>
        <v>-80</v>
      </c>
      <c r="K25" s="28" t="n">
        <f aca="false">-K17*80</f>
        <v>-153.6</v>
      </c>
      <c r="L25" s="28" t="n">
        <f aca="false">-L17*80</f>
        <v>-221.312</v>
      </c>
      <c r="M25" s="28" t="n">
        <f aca="false">-M17*80</f>
        <v>-283.60704</v>
      </c>
      <c r="N25" s="28" t="n">
        <f aca="false">-N17*80</f>
        <v>-340.9184768</v>
      </c>
      <c r="O25" s="28" t="n">
        <f aca="false">-O17*80</f>
        <v>-393.644998656</v>
      </c>
      <c r="P25" s="28" t="n">
        <f aca="false">-P17*80</f>
        <v>-442.15339876352</v>
      </c>
      <c r="Q25" s="28" t="n">
        <f aca="false">-Q17*80</f>
        <v>-486.781126862438</v>
      </c>
      <c r="R25" s="28" t="n">
        <f aca="false">-R17*80</f>
        <v>-527.838636713443</v>
      </c>
      <c r="S25" s="28" t="n">
        <f aca="false">-S17*80</f>
        <v>-565.611545776368</v>
      </c>
      <c r="T25" s="28" t="n">
        <f aca="false">-T17*80</f>
        <v>-600.362622114259</v>
      </c>
      <c r="U25" s="28" t="n">
        <f aca="false">-U17*80</f>
        <v>-632.333612345118</v>
      </c>
      <c r="V25" s="28" t="n">
        <f aca="false">-V17*80</f>
        <v>-661.746923357508</v>
      </c>
      <c r="W25" s="28" t="n">
        <f aca="false">-W17*80</f>
        <v>-688.807169488908</v>
      </c>
      <c r="X25" s="28" t="n">
        <f aca="false">-X17*80</f>
        <v>-713.702595929795</v>
      </c>
      <c r="Y25" s="28" t="n">
        <f aca="false">-Y17*80</f>
        <v>-736.606388255412</v>
      </c>
      <c r="Z25" s="29" t="n">
        <f aca="false">SUM(B25:Y25)</f>
        <v>-7529.02653506277</v>
      </c>
    </row>
    <row r="27" customFormat="false" ht="15" hidden="false" customHeight="false" outlineLevel="0" collapsed="false">
      <c r="A27" s="21" t="s">
        <v>235</v>
      </c>
      <c r="B27" s="27" t="n">
        <f aca="false">B22+B24+B25</f>
        <v>0</v>
      </c>
      <c r="C27" s="27" t="n">
        <f aca="false">C22+C24+C25</f>
        <v>0</v>
      </c>
      <c r="D27" s="27" t="n">
        <f aca="false">D22+D24+D25</f>
        <v>0</v>
      </c>
      <c r="E27" s="27" t="n">
        <f aca="false">E22+E24+E25</f>
        <v>0</v>
      </c>
      <c r="F27" s="27" t="n">
        <f aca="false">F22+F24+F25</f>
        <v>0</v>
      </c>
      <c r="G27" s="27" t="n">
        <f aca="false">G22+G24+G25</f>
        <v>0</v>
      </c>
      <c r="H27" s="27" t="n">
        <f aca="false">H22+H24+H25</f>
        <v>0</v>
      </c>
      <c r="I27" s="27" t="n">
        <f aca="false">I22+I24+I25</f>
        <v>0</v>
      </c>
      <c r="J27" s="27" t="n">
        <f aca="false">J22+J24+J25</f>
        <v>1865</v>
      </c>
      <c r="K27" s="27" t="n">
        <f aca="false">K22+K24+K25</f>
        <v>2200.8</v>
      </c>
      <c r="L27" s="27" t="n">
        <f aca="false">L22+L24+L25</f>
        <v>2509.736</v>
      </c>
      <c r="M27" s="27" t="n">
        <f aca="false">M22+M24+M25</f>
        <v>2793.95712</v>
      </c>
      <c r="N27" s="27" t="n">
        <f aca="false">N22+N24+N25</f>
        <v>3055.4405504</v>
      </c>
      <c r="O27" s="27" t="n">
        <f aca="false">O22+O24+O25</f>
        <v>3296.005306368</v>
      </c>
      <c r="P27" s="27" t="n">
        <f aca="false">P22+P24+P25</f>
        <v>3517.32488185856</v>
      </c>
      <c r="Q27" s="27" t="n">
        <f aca="false">Q22+Q24+Q25</f>
        <v>3720.93889130988</v>
      </c>
      <c r="R27" s="27" t="n">
        <f aca="false">R22+R24+R25</f>
        <v>3908.26378000509</v>
      </c>
      <c r="S27" s="27" t="n">
        <f aca="false">S22+S24+S25</f>
        <v>4080.60267760468</v>
      </c>
      <c r="T27" s="27" t="n">
        <f aca="false">T22+T24+T25</f>
        <v>4239.15446339631</v>
      </c>
      <c r="U27" s="27" t="n">
        <f aca="false">U22+U24+U25</f>
        <v>4385.0221063246</v>
      </c>
      <c r="V27" s="27" t="n">
        <f aca="false">V22+V24+V25</f>
        <v>4519.22033781863</v>
      </c>
      <c r="W27" s="27" t="n">
        <f aca="false">W22+W24+W25</f>
        <v>4642.68271079314</v>
      </c>
      <c r="X27" s="27" t="n">
        <f aca="false">X22+X24+X25</f>
        <v>4756.26809392969</v>
      </c>
      <c r="Y27" s="27" t="n">
        <f aca="false">Y22+Y24+Y25</f>
        <v>4860.76664641532</v>
      </c>
      <c r="Z27" s="27" t="n">
        <f aca="false">SUM(B27:Y27)</f>
        <v>58351.1835662239</v>
      </c>
    </row>
    <row r="29" customFormat="false" ht="15" hidden="false" customHeight="false" outlineLevel="0" collapsed="false">
      <c r="A29" s="3" t="s">
        <v>236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" hidden="false" customHeight="false" outlineLevel="0" collapsed="false">
      <c r="A30" s="16" t="s">
        <v>237</v>
      </c>
      <c r="B30" s="16"/>
      <c r="C30" s="16"/>
      <c r="D30" s="16"/>
      <c r="E30" s="16"/>
      <c r="F30" s="16"/>
      <c r="G30" s="16"/>
      <c r="H30" s="16"/>
      <c r="I30" s="16"/>
      <c r="J30" s="16"/>
    </row>
    <row r="31" customFormat="false" ht="15" hidden="false" customHeight="false" outlineLevel="0" collapsed="false">
      <c r="A31" s="16" t="s">
        <v>238</v>
      </c>
      <c r="B31" s="16"/>
      <c r="C31" s="16"/>
      <c r="D31" s="16"/>
      <c r="E31" s="16"/>
      <c r="F31" s="16"/>
      <c r="G31" s="16"/>
      <c r="H31" s="16"/>
      <c r="I31" s="16"/>
      <c r="J31" s="16"/>
    </row>
    <row r="32" customFormat="false" ht="15" hidden="false" customHeight="false" outlineLevel="0" collapsed="false">
      <c r="A32" s="16" t="s">
        <v>239</v>
      </c>
      <c r="B32" s="16"/>
      <c r="C32" s="16"/>
      <c r="D32" s="16"/>
      <c r="E32" s="16"/>
      <c r="F32" s="16"/>
      <c r="G32" s="16"/>
      <c r="H32" s="16"/>
      <c r="I32" s="16"/>
      <c r="J32" s="16"/>
    </row>
    <row r="33" customFormat="false" ht="15" hidden="false" customHeight="false" outlineLevel="0" collapsed="false">
      <c r="A33" s="16" t="s">
        <v>240</v>
      </c>
      <c r="B33" s="16"/>
      <c r="C33" s="16"/>
      <c r="D33" s="16"/>
      <c r="E33" s="16"/>
      <c r="F33" s="16"/>
      <c r="G33" s="16"/>
      <c r="H33" s="16"/>
      <c r="I33" s="16"/>
      <c r="J33" s="16"/>
    </row>
    <row r="34" customFormat="false" ht="15" hidden="false" customHeight="false" outlineLevel="0" collapsed="false">
      <c r="A34" s="16" t="s">
        <v>241</v>
      </c>
      <c r="B34" s="16"/>
      <c r="C34" s="16"/>
      <c r="D34" s="16"/>
      <c r="E34" s="16"/>
      <c r="F34" s="16"/>
      <c r="G34" s="16"/>
      <c r="H34" s="16"/>
      <c r="I34" s="16"/>
      <c r="J34" s="16"/>
    </row>
  </sheetData>
  <mergeCells count="12">
    <mergeCell ref="C5:J5"/>
    <mergeCell ref="C6:J6"/>
    <mergeCell ref="C7:J7"/>
    <mergeCell ref="C8:J8"/>
    <mergeCell ref="C9:J9"/>
    <mergeCell ref="C10:J10"/>
    <mergeCell ref="C11:J11"/>
    <mergeCell ref="A30:J30"/>
    <mergeCell ref="A31:J31"/>
    <mergeCell ref="A32:J32"/>
    <mergeCell ref="A33:J33"/>
    <mergeCell ref="A34:J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8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242</v>
      </c>
    </row>
    <row r="2" customFormat="false" ht="15" hidden="false" customHeight="false" outlineLevel="0" collapsed="false">
      <c r="A2" s="2" t="s">
        <v>243</v>
      </c>
    </row>
    <row r="4" customFormat="false" ht="15" hidden="false" customHeight="false" outlineLevel="0" collapsed="false">
      <c r="A4" s="3" t="s">
        <v>244</v>
      </c>
      <c r="B4" s="4"/>
      <c r="C4" s="4"/>
      <c r="D4" s="4"/>
      <c r="E4" s="4"/>
    </row>
    <row r="5" customFormat="false" ht="15" hidden="false" customHeight="false" outlineLevel="0" collapsed="false">
      <c r="A5" s="5" t="s">
        <v>245</v>
      </c>
      <c r="B5" s="11" t="n">
        <v>800</v>
      </c>
    </row>
    <row r="6" customFormat="false" ht="15" hidden="false" customHeight="false" outlineLevel="0" collapsed="false">
      <c r="A6" s="5" t="s">
        <v>246</v>
      </c>
      <c r="B6" s="11" t="n">
        <v>120</v>
      </c>
    </row>
    <row r="7" customFormat="false" ht="15" hidden="false" customHeight="false" outlineLevel="0" collapsed="false">
      <c r="A7" s="5" t="s">
        <v>247</v>
      </c>
      <c r="B7" s="15" t="n">
        <v>1</v>
      </c>
    </row>
    <row r="9" customFormat="false" ht="15" hidden="false" customHeight="false" outlineLevel="0" collapsed="false">
      <c r="A9" s="3" t="s">
        <v>248</v>
      </c>
      <c r="B9" s="4"/>
      <c r="C9" s="4"/>
      <c r="D9" s="4"/>
      <c r="E9" s="4"/>
    </row>
    <row r="10" customFormat="false" ht="15" hidden="false" customHeight="false" outlineLevel="0" collapsed="false">
      <c r="A10" s="5" t="s">
        <v>249</v>
      </c>
      <c r="B10" s="28" t="n">
        <f aca="false">B5*12</f>
        <v>9600</v>
      </c>
    </row>
    <row r="11" customFormat="false" ht="15" hidden="false" customHeight="false" outlineLevel="0" collapsed="false">
      <c r="A11" s="5" t="s">
        <v>250</v>
      </c>
      <c r="B11" s="28" t="n">
        <f aca="false">B5*(1-Hypotheses!$B$8)-B6</f>
        <v>560</v>
      </c>
    </row>
    <row r="12" customFormat="false" ht="15" hidden="false" customHeight="false" outlineLevel="0" collapsed="false">
      <c r="A12" s="5" t="s">
        <v>251</v>
      </c>
      <c r="B12" s="28" t="n">
        <f aca="false">MAX(0,B11*Hypotheses!$B$12)</f>
        <v>392</v>
      </c>
    </row>
    <row r="13" customFormat="false" ht="15" hidden="false" customHeight="false" outlineLevel="0" collapsed="false">
      <c r="A13" s="5" t="s">
        <v>252</v>
      </c>
      <c r="B13" s="28" t="n">
        <f aca="false">B12*12</f>
        <v>4704</v>
      </c>
    </row>
    <row r="14" customFormat="false" ht="15" hidden="false" customHeight="false" outlineLevel="0" collapsed="false">
      <c r="A14" s="37" t="s">
        <v>253</v>
      </c>
      <c r="B14" s="38" t="str">
        <f aca="false">IF(B13&lt;1000,"P1 — Test",IF(B13&lt;9000,"P2 — Démarrage",IF(B13&lt;20000,"P3 — Structuration","P4 — Pro")))</f>
        <v>P2 — Démarrage</v>
      </c>
    </row>
    <row r="15" customFormat="false" ht="15" hidden="false" customHeight="false" outlineLevel="0" collapsed="false">
      <c r="A15" s="5" t="s">
        <v>254</v>
      </c>
      <c r="B15" s="33" t="str">
        <f aca="false">IF(B13&lt;9000,"Droit à l'image",IF(B13&lt;20000,"Indép. complémentaire (sans TVA)",IF(B13&lt;25000,"Indép. complémentaire (sans TVA) OU principale","Indép. + TVA activée")))</f>
        <v>Droit à l'image</v>
      </c>
    </row>
    <row r="16" customFormat="false" ht="15" hidden="false" customHeight="false" outlineLevel="0" collapsed="false">
      <c r="A16" s="5" t="s">
        <v>255</v>
      </c>
      <c r="B16" s="39" t="n">
        <f aca="false">IF(B13&lt;9000,0.15,IF(B13&lt;20000,0.28,IF(B13&lt;25000,0.33,0.4)))</f>
        <v>0.15</v>
      </c>
    </row>
    <row r="17" customFormat="false" ht="15" hidden="false" customHeight="false" outlineLevel="0" collapsed="false">
      <c r="A17" s="37" t="s">
        <v>256</v>
      </c>
      <c r="B17" s="27" t="n">
        <f aca="false">B13*(1-B16)</f>
        <v>3998.4</v>
      </c>
    </row>
    <row r="18" customFormat="false" ht="15" hidden="false" customHeight="false" outlineLevel="0" collapsed="false">
      <c r="A18" s="37" t="s">
        <v>257</v>
      </c>
      <c r="B18" s="27" t="n">
        <f aca="false">B17/12</f>
        <v>333.2</v>
      </c>
    </row>
    <row r="20" customFormat="false" ht="15" hidden="false" customHeight="false" outlineLevel="0" collapsed="false">
      <c r="A20" s="3" t="s">
        <v>258</v>
      </c>
      <c r="B20" s="4"/>
      <c r="C20" s="4"/>
      <c r="D20" s="4"/>
      <c r="E20" s="4"/>
    </row>
    <row r="21" customFormat="false" ht="45" hidden="false" customHeight="true" outlineLevel="0" collapsed="false">
      <c r="A21" s="5" t="s">
        <v>259</v>
      </c>
      <c r="B21" s="40" t="str">
        <f aca="false">IF(B7=3,"STATUT CHÔMAGE : incompatible par défaut. Vérifier Article 48 ONEM ou Tremplin indépendant AVANT signature.",IF(B7=4,"Sans activité : indép. PRINCIPALE uniquement (cotisation min. ~800€/trim).",IF(B7=2,"Étudiante : statut étudiant-indépendant possible, cotisations réduites.",IF(B7=1,"Salariée : OK, vérifier clause exclusivité/loyauté contrat travail.","Pensionnée : indép. complémentaire OK, vérifier plafond cumul pension."))))</f>
        <v>Salariée : OK, vérifier clause exclusivité/loyauté contrat travail.</v>
      </c>
      <c r="C21" s="40"/>
      <c r="D21" s="40"/>
      <c r="E21" s="40"/>
    </row>
    <row r="23" customFormat="false" ht="15" hidden="false" customHeight="false" outlineLevel="0" collapsed="false">
      <c r="A23" s="3" t="s">
        <v>84</v>
      </c>
      <c r="B23" s="4"/>
      <c r="C23" s="4"/>
      <c r="D23" s="4"/>
      <c r="E23" s="4"/>
    </row>
    <row r="24" customFormat="false" ht="15" hidden="false" customHeight="false" outlineLevel="0" collapsed="false">
      <c r="A24" s="16" t="s">
        <v>260</v>
      </c>
      <c r="B24" s="16"/>
      <c r="C24" s="16"/>
      <c r="D24" s="16"/>
      <c r="E24" s="16"/>
    </row>
    <row r="25" customFormat="false" ht="15" hidden="false" customHeight="false" outlineLevel="0" collapsed="false">
      <c r="A25" s="16" t="s">
        <v>261</v>
      </c>
      <c r="B25" s="16"/>
      <c r="C25" s="16"/>
      <c r="D25" s="16"/>
      <c r="E25" s="16"/>
    </row>
    <row r="26" customFormat="false" ht="15" hidden="false" customHeight="false" outlineLevel="0" collapsed="false">
      <c r="A26" s="16" t="s">
        <v>262</v>
      </c>
      <c r="B26" s="16"/>
      <c r="C26" s="16"/>
      <c r="D26" s="16"/>
      <c r="E26" s="16"/>
    </row>
    <row r="27" customFormat="false" ht="15" hidden="false" customHeight="false" outlineLevel="0" collapsed="false">
      <c r="A27" s="16" t="s">
        <v>263</v>
      </c>
      <c r="B27" s="16"/>
      <c r="C27" s="16"/>
      <c r="D27" s="16"/>
      <c r="E27" s="16"/>
    </row>
    <row r="28" customFormat="false" ht="15" hidden="false" customHeight="false" outlineLevel="0" collapsed="false">
      <c r="A28" s="16" t="s">
        <v>264</v>
      </c>
      <c r="B28" s="16"/>
      <c r="C28" s="16"/>
      <c r="D28" s="16"/>
      <c r="E28" s="16"/>
    </row>
    <row r="29" customFormat="false" ht="15" hidden="false" customHeight="false" outlineLevel="0" collapsed="false">
      <c r="A29" s="16" t="s">
        <v>265</v>
      </c>
      <c r="B29" s="16"/>
      <c r="C29" s="16"/>
      <c r="D29" s="16"/>
      <c r="E29" s="16"/>
    </row>
    <row r="30" customFormat="false" ht="15" hidden="false" customHeight="false" outlineLevel="0" collapsed="false">
      <c r="A30" s="16" t="s">
        <v>266</v>
      </c>
      <c r="B30" s="16"/>
      <c r="C30" s="16"/>
      <c r="D30" s="16"/>
      <c r="E30" s="16"/>
    </row>
  </sheetData>
  <mergeCells count="8">
    <mergeCell ref="B21:E21"/>
    <mergeCell ref="A24:E24"/>
    <mergeCell ref="A25:E25"/>
    <mergeCell ref="A26:E26"/>
    <mergeCell ref="A27:E27"/>
    <mergeCell ref="A28:E28"/>
    <mergeCell ref="A29:E29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2026-04-21T14:21:44Z</dcterms:created>
  <dc:creator>openpyxl</dc:creator>
  <dc:description/>
  <dc:language>en-US</dc:language>
  <cp:lastModifiedBy/>
  <dcterms:modified xsi:type="dcterms:W3CDTF">2026-04-21T14:21:44Z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